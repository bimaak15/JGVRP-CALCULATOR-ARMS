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S DEALER" sheetId="1" r:id="rId5"/>
    <sheet state="visible" name="GUN RADZZ" sheetId="2" r:id="rId6"/>
    <sheet state="visible" name="Sheet9" sheetId="3" r:id="rId7"/>
    <sheet state="visible" name="GUN WILL" sheetId="4" r:id="rId8"/>
    <sheet state="visible" name="Drugs Radzz" sheetId="5" r:id="rId9"/>
    <sheet state="visible" name="GUN EGAN" sheetId="6" r:id="rId10"/>
    <sheet state="visible" name="GUN BIMAAK" sheetId="7" r:id="rId11"/>
    <sheet state="visible" name="DRUGS" sheetId="8" r:id="rId12"/>
  </sheets>
  <definedNames/>
  <calcPr/>
</workbook>
</file>

<file path=xl/sharedStrings.xml><?xml version="1.0" encoding="utf-8"?>
<sst xmlns="http://schemas.openxmlformats.org/spreadsheetml/2006/main" count="431" uniqueCount="105">
  <si>
    <t>Harga</t>
  </si>
  <si>
    <t>Gun Material</t>
  </si>
  <si>
    <t>Heavy Material</t>
  </si>
  <si>
    <t>Component</t>
  </si>
  <si>
    <t>COST</t>
  </si>
  <si>
    <t>Type Gun</t>
  </si>
  <si>
    <t>Manufacture Price</t>
  </si>
  <si>
    <t>Ammo (/create)</t>
  </si>
  <si>
    <t>Ammo Created</t>
  </si>
  <si>
    <t>Combat Pistol</t>
  </si>
  <si>
    <t>Manufacture</t>
  </si>
  <si>
    <t>Ammo</t>
  </si>
  <si>
    <t>Heavy Pistol</t>
  </si>
  <si>
    <t>Machine Pistol</t>
  </si>
  <si>
    <t>Sawn Off</t>
  </si>
  <si>
    <t>Pump</t>
  </si>
  <si>
    <t>LAST UPDATE</t>
  </si>
  <si>
    <t>Craft</t>
  </si>
  <si>
    <t>Needs</t>
  </si>
  <si>
    <t>Buyer</t>
  </si>
  <si>
    <t>Location</t>
  </si>
  <si>
    <t>Create Manufacture</t>
  </si>
  <si>
    <t>Create Ammo</t>
  </si>
  <si>
    <t>Sell Price</t>
  </si>
  <si>
    <t>Profit</t>
  </si>
  <si>
    <t>Textile City</t>
  </si>
  <si>
    <t>Mission Row</t>
  </si>
  <si>
    <t>Pillbox</t>
  </si>
  <si>
    <t>/ads [SELL] Retinue | Full Modift rata kanan | Style Rally | 45k SAJA!!!! ( harga mobil 41k, harga modif 15k)</t>
  </si>
  <si>
    <t>none</t>
  </si>
  <si>
    <t>Inventory</t>
  </si>
  <si>
    <t>None</t>
  </si>
  <si>
    <t xml:space="preserve"> </t>
  </si>
  <si>
    <t>MONEY NEED</t>
  </si>
  <si>
    <t>$</t>
  </si>
  <si>
    <t>LAST UPDATED:</t>
  </si>
  <si>
    <t>12 menit</t>
  </si>
  <si>
    <t>Spending</t>
  </si>
  <si>
    <t>Date</t>
  </si>
  <si>
    <t>Heavy Gun Material</t>
  </si>
  <si>
    <t>Total</t>
  </si>
  <si>
    <t>LIIMIT DAILY</t>
  </si>
  <si>
    <t>Type</t>
  </si>
  <si>
    <t>18/06</t>
  </si>
  <si>
    <t>PUMP</t>
  </si>
  <si>
    <t>La Mesa</t>
  </si>
  <si>
    <t>Strawberry</t>
  </si>
  <si>
    <t>Rockford Hills</t>
  </si>
  <si>
    <t>30/04</t>
  </si>
  <si>
    <t>a</t>
  </si>
  <si>
    <t>INVENTORY</t>
  </si>
  <si>
    <t>STOCK</t>
  </si>
  <si>
    <t>SEED</t>
  </si>
  <si>
    <t>Sour Diesel Seed</t>
  </si>
  <si>
    <t>Gold Weed Seed</t>
  </si>
  <si>
    <t>Blue Dream Seed</t>
  </si>
  <si>
    <t>Purple Kush Seed</t>
  </si>
  <si>
    <t>WEED</t>
  </si>
  <si>
    <t>Sour Diesel</t>
  </si>
  <si>
    <t>Gold Weed</t>
  </si>
  <si>
    <t>Blue Dream</t>
  </si>
  <si>
    <t>Purple Kush</t>
  </si>
  <si>
    <t>BAHAN</t>
  </si>
  <si>
    <t>Acid</t>
  </si>
  <si>
    <t>Acetone</t>
  </si>
  <si>
    <t>Ammonia</t>
  </si>
  <si>
    <t>Kerosene</t>
  </si>
  <si>
    <t>Lime</t>
  </si>
  <si>
    <t>Lithium</t>
  </si>
  <si>
    <t>Pottasium</t>
  </si>
  <si>
    <t>Sodium</t>
  </si>
  <si>
    <t>HASIL</t>
  </si>
  <si>
    <t>Cocaine</t>
  </si>
  <si>
    <t>Crack</t>
  </si>
  <si>
    <t>Meth</t>
  </si>
  <si>
    <t>Heroine</t>
  </si>
  <si>
    <t>Little Seoul</t>
  </si>
  <si>
    <t>Hawick</t>
  </si>
  <si>
    <t>24/04</t>
  </si>
  <si>
    <t>26/04</t>
  </si>
  <si>
    <t>CP</t>
  </si>
  <si>
    <t>27/04</t>
  </si>
  <si>
    <t>Heavy</t>
  </si>
  <si>
    <t>28/04</t>
  </si>
  <si>
    <t>pump</t>
  </si>
  <si>
    <t>heavy pistol</t>
  </si>
  <si>
    <t>SOS</t>
  </si>
  <si>
    <t>Sell</t>
  </si>
  <si>
    <t>ACCUMULATION:</t>
  </si>
  <si>
    <t xml:space="preserve">USAGE: </t>
  </si>
  <si>
    <t>KEBUTUHAN</t>
  </si>
  <si>
    <t>SESUAI ACID</t>
  </si>
  <si>
    <t>BLUE DREAM WEED</t>
  </si>
  <si>
    <t>Aceton</t>
  </si>
  <si>
    <t>ACID</t>
  </si>
  <si>
    <t>PURPLE SEED</t>
  </si>
  <si>
    <t>GOLD SEED</t>
  </si>
  <si>
    <t>SOUR SEED</t>
  </si>
  <si>
    <t>GOLD WEED</t>
  </si>
  <si>
    <t>COMBAT PISTOL</t>
  </si>
  <si>
    <t>SOUR DIESEL WEED</t>
  </si>
  <si>
    <t>Potassium</t>
  </si>
  <si>
    <t>Kerosen</t>
  </si>
  <si>
    <t>PURPLE KUSH WEED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</si>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</sst>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[$$]#,##0.00"/>
    <numFmt numFmtId="166" formatCode="&quot;$&quot;#,##0"/>
    <numFmt numFmtId="167" formatCode="mm/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i/>
      <color theme="1"/>
      <name val="Arial"/>
      <scheme val="minor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4" fillId="2" fontId="4" numFmtId="164" xfId="0" applyAlignment="1" applyBorder="1" applyFill="1" applyFont="1" applyNumberFormat="1">
      <alignment horizontal="center" readingOrder="0"/>
    </xf>
    <xf borderId="4" fillId="0" fontId="4" numFmtId="164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4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7" fillId="0" fontId="2" numFmtId="0" xfId="0" applyBorder="1" applyFont="1"/>
    <xf borderId="5" fillId="3" fontId="1" numFmtId="0" xfId="0" applyAlignment="1" applyBorder="1" applyFill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4" numFmtId="165" xfId="0" applyAlignment="1" applyBorder="1" applyFont="1" applyNumberFormat="1">
      <alignment horizontal="center" vertical="center"/>
    </xf>
    <xf borderId="4" fillId="0" fontId="4" numFmtId="165" xfId="0" applyAlignment="1" applyBorder="1" applyFont="1" applyNumberFormat="1">
      <alignment horizontal="center"/>
    </xf>
    <xf borderId="4" fillId="0" fontId="4" numFmtId="165" xfId="0" applyAlignment="1" applyBorder="1" applyFont="1" applyNumberFormat="1">
      <alignment horizontal="center" readingOrder="0" vertical="center"/>
    </xf>
    <xf borderId="4" fillId="2" fontId="4" numFmtId="165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0" fontId="4" numFmtId="165" xfId="0" applyAlignment="1" applyFont="1" applyNumberFormat="1">
      <alignment horizontal="center" vertical="center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horizontal="center" readingOrder="0"/>
    </xf>
    <xf borderId="0" fillId="0" fontId="4" numFmtId="0" xfId="0" applyFont="1"/>
    <xf borderId="4" fillId="0" fontId="4" numFmtId="0" xfId="0" applyBorder="1" applyFont="1"/>
    <xf borderId="0" fillId="0" fontId="4" numFmtId="166" xfId="0" applyAlignment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/>
    </xf>
    <xf borderId="0" fillId="0" fontId="4" numFmtId="20" xfId="0" applyAlignment="1" applyFont="1" applyNumberFormat="1">
      <alignment readingOrder="0"/>
    </xf>
    <xf borderId="4" fillId="0" fontId="4" numFmtId="0" xfId="0" applyAlignment="1" applyBorder="1" applyFont="1">
      <alignment horizontal="center" vertical="center"/>
    </xf>
    <xf borderId="5" fillId="0" fontId="4" numFmtId="167" xfId="0" applyAlignment="1" applyBorder="1" applyFont="1" applyNumberForma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4" fillId="0" fontId="4" numFmtId="167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horizontal="center" readingOrder="0" vertical="center"/>
    </xf>
    <xf borderId="4" fillId="0" fontId="4" numFmtId="167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7" fillId="0" fontId="4" numFmtId="167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5" fontId="1" numFmtId="0" xfId="0" applyAlignment="1" applyBorder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4" fillId="6" fontId="4" numFmtId="0" xfId="0" applyAlignment="1" applyBorder="1" applyFont="1">
      <alignment readingOrder="0"/>
    </xf>
    <xf borderId="4" fillId="6" fontId="4" numFmtId="0" xfId="0" applyAlignment="1" applyBorder="1" applyFont="1">
      <alignment horizontal="center" readingOrder="0"/>
    </xf>
    <xf borderId="5" fillId="7" fontId="1" numFmtId="0" xfId="0" applyAlignment="1" applyBorder="1" applyFill="1" applyFont="1">
      <alignment horizontal="center" readingOrder="0" vertical="center"/>
    </xf>
    <xf borderId="4" fillId="6" fontId="1" numFmtId="0" xfId="0" applyAlignment="1" applyBorder="1" applyFont="1">
      <alignment horizontal="center" readingOrder="0" vertical="center"/>
    </xf>
    <xf borderId="5" fillId="8" fontId="1" numFmtId="0" xfId="0" applyAlignment="1" applyBorder="1" applyFill="1" applyFont="1">
      <alignment horizontal="center" readingOrder="0" vertical="center"/>
    </xf>
    <xf borderId="5" fillId="9" fontId="1" numFmtId="0" xfId="0" applyAlignment="1" applyBorder="1" applyFill="1" applyFont="1">
      <alignment horizontal="center" readingOrder="0" vertical="center"/>
    </xf>
    <xf borderId="0" fillId="0" fontId="4" numFmtId="20" xfId="0" applyAlignment="1" applyFont="1" applyNumberFormat="1">
      <alignment horizontal="center" readingOrder="0"/>
    </xf>
    <xf borderId="5" fillId="0" fontId="4" numFmtId="167" xfId="0" applyAlignment="1" applyBorder="1" applyFont="1" applyNumberFormat="1">
      <alignment horizontal="center" readingOrder="0"/>
    </xf>
    <xf borderId="4" fillId="0" fontId="4" numFmtId="164" xfId="0" applyAlignment="1" applyBorder="1" applyFont="1" applyNumberFormat="1">
      <alignment horizontal="center" readingOrder="0" vertical="center"/>
    </xf>
    <xf borderId="5" fillId="2" fontId="1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10" fontId="4" numFmtId="0" xfId="0" applyAlignment="1" applyBorder="1" applyFill="1" applyFont="1">
      <alignment horizontal="center" readingOrder="0"/>
    </xf>
    <xf borderId="5" fillId="11" fontId="4" numFmtId="0" xfId="0" applyAlignment="1" applyBorder="1" applyFill="1" applyFont="1">
      <alignment horizontal="center" readingOrder="0" vertical="center"/>
    </xf>
    <xf borderId="5" fillId="12" fontId="4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5" fillId="2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6.75"/>
    <col customWidth="1" min="4" max="4" width="13.88"/>
    <col customWidth="1" min="5" max="5" width="16.5"/>
    <col customWidth="1" min="9" max="9" width="15.5"/>
    <col customWidth="1" min="10" max="10" width="18.88"/>
    <col customWidth="1" min="11" max="11" width="16.75"/>
    <col customWidth="1" min="12" max="12" width="12.88"/>
    <col customWidth="1" min="13" max="13" width="15.0"/>
    <col customWidth="1" min="14" max="14" width="15.13"/>
    <col customWidth="1" min="18" max="18" width="16.75"/>
    <col customWidth="1" min="19" max="19" width="15.75"/>
    <col customWidth="1" min="20" max="20" width="13.13"/>
    <col customWidth="1" min="21" max="21" width="20.63"/>
    <col customWidth="1" min="22" max="22" width="13.88"/>
    <col customWidth="1" min="23" max="23" width="15.75"/>
  </cols>
  <sheetData>
    <row r="2">
      <c r="B2" s="1" t="s">
        <v>0</v>
      </c>
      <c r="C2" s="2"/>
      <c r="D2" s="3"/>
    </row>
    <row r="3">
      <c r="B3" s="4" t="s">
        <v>1</v>
      </c>
      <c r="C3" s="4" t="s">
        <v>2</v>
      </c>
      <c r="D3" s="4" t="s">
        <v>3</v>
      </c>
      <c r="I3" s="5" t="s">
        <v>4</v>
      </c>
    </row>
    <row r="4">
      <c r="B4" s="6">
        <v>35.0</v>
      </c>
      <c r="C4" s="6">
        <v>75.0</v>
      </c>
      <c r="D4" s="6">
        <v>1.25</v>
      </c>
      <c r="I4" s="7" t="s">
        <v>5</v>
      </c>
      <c r="J4" s="8" t="s">
        <v>6</v>
      </c>
      <c r="K4" s="8" t="s">
        <v>7</v>
      </c>
      <c r="L4" s="8" t="s">
        <v>8</v>
      </c>
      <c r="AD4" s="9"/>
    </row>
    <row r="5">
      <c r="I5" s="10" t="s">
        <v>9</v>
      </c>
      <c r="J5" s="11">
        <v>2000.0</v>
      </c>
      <c r="K5" s="12">
        <v>12.5</v>
      </c>
      <c r="L5" s="13">
        <v>12.0</v>
      </c>
      <c r="AD5" s="9"/>
    </row>
    <row r="6">
      <c r="B6" s="14" t="s">
        <v>5</v>
      </c>
      <c r="C6" s="1" t="s">
        <v>10</v>
      </c>
      <c r="D6" s="2"/>
      <c r="E6" s="3"/>
      <c r="F6" s="1" t="s">
        <v>11</v>
      </c>
      <c r="G6" s="3"/>
      <c r="I6" s="10" t="s">
        <v>12</v>
      </c>
      <c r="J6" s="11">
        <v>3100.0</v>
      </c>
      <c r="K6" s="12">
        <v>18.75</v>
      </c>
      <c r="L6" s="13">
        <v>18.0</v>
      </c>
      <c r="AD6" s="9"/>
    </row>
    <row r="7">
      <c r="B7" s="15"/>
      <c r="C7" s="16" t="s">
        <v>1</v>
      </c>
      <c r="D7" s="16" t="s">
        <v>2</v>
      </c>
      <c r="E7" s="16" t="s">
        <v>3</v>
      </c>
      <c r="F7" s="16" t="s">
        <v>1</v>
      </c>
      <c r="G7" s="16" t="s">
        <v>3</v>
      </c>
      <c r="H7" s="17"/>
      <c r="I7" s="10" t="s">
        <v>13</v>
      </c>
      <c r="J7" s="11">
        <v>6000.0</v>
      </c>
      <c r="K7" s="12">
        <v>41.25</v>
      </c>
      <c r="L7" s="13">
        <v>12.0</v>
      </c>
      <c r="P7" s="9"/>
      <c r="AD7" s="9"/>
    </row>
    <row r="8">
      <c r="B8" s="18" t="s">
        <v>9</v>
      </c>
      <c r="C8" s="6">
        <v>50.0</v>
      </c>
      <c r="D8" s="6">
        <v>0.0</v>
      </c>
      <c r="E8" s="6">
        <v>200.0</v>
      </c>
      <c r="F8" s="6">
        <v>0.0</v>
      </c>
      <c r="G8" s="6">
        <v>10.0</v>
      </c>
      <c r="H8" s="19"/>
      <c r="I8" s="10" t="s">
        <v>14</v>
      </c>
      <c r="J8" s="11">
        <v>3750.0</v>
      </c>
      <c r="K8" s="12">
        <v>41.25</v>
      </c>
      <c r="L8" s="13">
        <v>8.0</v>
      </c>
      <c r="P8" s="17"/>
    </row>
    <row r="9">
      <c r="B9" s="18" t="s">
        <v>12</v>
      </c>
      <c r="C9" s="6">
        <v>60.0</v>
      </c>
      <c r="D9" s="6">
        <v>10.0</v>
      </c>
      <c r="E9" s="6">
        <v>200.0</v>
      </c>
      <c r="F9" s="6">
        <v>0.0</v>
      </c>
      <c r="G9" s="6">
        <v>15.0</v>
      </c>
      <c r="H9" s="19"/>
      <c r="I9" s="10" t="s">
        <v>15</v>
      </c>
      <c r="J9" s="11">
        <v>4800.0</v>
      </c>
      <c r="K9" s="12">
        <v>41.25</v>
      </c>
      <c r="L9" s="13">
        <v>8.0</v>
      </c>
    </row>
    <row r="10">
      <c r="B10" s="18" t="s">
        <v>13</v>
      </c>
      <c r="C10" s="6">
        <v>100.0</v>
      </c>
      <c r="D10" s="6">
        <v>25.0</v>
      </c>
      <c r="E10" s="6">
        <v>500.0</v>
      </c>
      <c r="F10" s="6">
        <v>1.0</v>
      </c>
      <c r="G10" s="6">
        <v>5.0</v>
      </c>
      <c r="H10" s="19"/>
    </row>
    <row r="11">
      <c r="B11" s="18" t="s">
        <v>14</v>
      </c>
      <c r="C11" s="6">
        <v>75.0</v>
      </c>
      <c r="D11" s="6">
        <v>10.0</v>
      </c>
      <c r="E11" s="6">
        <v>300.0</v>
      </c>
      <c r="F11" s="6">
        <v>1.0</v>
      </c>
      <c r="G11" s="6">
        <v>5.0</v>
      </c>
      <c r="I11" s="14" t="s">
        <v>16</v>
      </c>
      <c r="J11" s="14"/>
      <c r="K11" s="20"/>
      <c r="L11" s="20"/>
      <c r="M11" s="20"/>
      <c r="N11" s="20"/>
      <c r="O11" s="20"/>
    </row>
    <row r="12">
      <c r="B12" s="18" t="s">
        <v>15</v>
      </c>
      <c r="C12" s="6">
        <v>80.0</v>
      </c>
      <c r="D12" s="6">
        <v>20.0</v>
      </c>
      <c r="E12" s="6">
        <v>400.0</v>
      </c>
      <c r="F12" s="6">
        <v>1.0</v>
      </c>
      <c r="G12" s="6">
        <v>5.0</v>
      </c>
      <c r="H12" s="17"/>
      <c r="I12" s="21"/>
      <c r="J12" s="21"/>
      <c r="K12" s="20"/>
      <c r="L12" s="20"/>
      <c r="M12" s="20"/>
      <c r="N12" s="20"/>
      <c r="O12" s="20"/>
    </row>
    <row r="13">
      <c r="I13" s="15"/>
      <c r="J13" s="15"/>
      <c r="K13" s="20"/>
      <c r="L13" s="20"/>
      <c r="M13" s="20"/>
      <c r="N13" s="20"/>
      <c r="O13" s="20"/>
    </row>
    <row r="15">
      <c r="B15" s="22" t="s">
        <v>17</v>
      </c>
      <c r="C15" s="23" t="s">
        <v>5</v>
      </c>
      <c r="D15" s="23" t="s">
        <v>11</v>
      </c>
      <c r="E15" s="1" t="s">
        <v>18</v>
      </c>
      <c r="F15" s="2"/>
      <c r="G15" s="3"/>
      <c r="I15" s="23" t="s">
        <v>19</v>
      </c>
      <c r="J15" s="24" t="s">
        <v>20</v>
      </c>
      <c r="K15" s="24" t="s">
        <v>5</v>
      </c>
      <c r="L15" s="24" t="s">
        <v>11</v>
      </c>
      <c r="M15" s="25" t="s">
        <v>21</v>
      </c>
      <c r="N15" s="8" t="s">
        <v>22</v>
      </c>
      <c r="O15" s="24" t="s">
        <v>23</v>
      </c>
      <c r="P15" s="8" t="s">
        <v>24</v>
      </c>
    </row>
    <row r="16">
      <c r="B16" s="21"/>
      <c r="C16" s="15"/>
      <c r="D16" s="15"/>
      <c r="E16" s="4" t="s">
        <v>1</v>
      </c>
      <c r="F16" s="4" t="s">
        <v>2</v>
      </c>
      <c r="G16" s="4" t="s">
        <v>3</v>
      </c>
      <c r="I16" s="21"/>
      <c r="J16" s="10" t="s">
        <v>25</v>
      </c>
      <c r="K16" s="13" t="s">
        <v>13</v>
      </c>
      <c r="L16" s="6">
        <v>84.0</v>
      </c>
      <c r="M16" s="26">
        <f t="shared" ref="M16:M18" si="1">SWITCH(K16, "Combat Pistol", 2000, "Heavy Pistol", 3100, "Machine Pistol", 6000, "Sawn Off", 3750, "Pump", 4800, "")</f>
        <v>6000</v>
      </c>
      <c r="N16" s="27">
        <f t="shared" ref="N16:N18" si="2">IF(L16="", "", ROUND((XLOOKUP(K16, $I$5:$I$9, $K$5:$K$9) / XLOOKUP(K16, $I$5:$I$9, $L$5:$L$9)) * L16, 0))</f>
        <v>289</v>
      </c>
      <c r="O16" s="28">
        <v>8600.0</v>
      </c>
      <c r="P16" s="29">
        <f t="shared" ref="P16:P18" si="3">O16-(M16+N16)</f>
        <v>2311</v>
      </c>
    </row>
    <row r="17">
      <c r="B17" s="21"/>
      <c r="C17" s="6" t="s">
        <v>13</v>
      </c>
      <c r="D17" s="6">
        <v>84.0</v>
      </c>
      <c r="E17" s="30">
        <f t="shared" ref="E17:E19" si="4">IF(D17="", "", XLOOKUP(C17, $B$8:$B$12, $C$8:$C$12) + (CEILING(D17 / XLOOKUP(C17, $B$8:$B$12, $L$5:$L$9), 1) * XLOOKUP(C17, $B$8:$B$12, $F$8:$F$12)))</f>
        <v>107</v>
      </c>
      <c r="F17" s="30">
        <f t="shared" ref="F17:F19" si="5">IF(D17="", "", XLOOKUP(C17, $B$8:$B$12, $D$8:$D$12) + (CEILING(D17 / XLOOKUP(C17, $B$8:$B$12, $L$5:$L$9), 1) * 0))</f>
        <v>25</v>
      </c>
      <c r="G17" s="30">
        <f t="shared" ref="G17:G19" si="6">IF(D17="", "", XLOOKUP(C17, $B$8:$B$12, $E$8:$E$12) + (CEILING(D17 / XLOOKUP(C17, $B$8:$B$12, $L$5:$L$9), 1) * XLOOKUP(C17, $B$8:$B$12, $G$8:$G$12)))</f>
        <v>535</v>
      </c>
      <c r="H17" s="31"/>
      <c r="I17" s="21"/>
      <c r="J17" s="10" t="s">
        <v>26</v>
      </c>
      <c r="K17" s="13" t="s">
        <v>14</v>
      </c>
      <c r="L17" s="6">
        <v>64.0</v>
      </c>
      <c r="M17" s="26">
        <f t="shared" si="1"/>
        <v>3750</v>
      </c>
      <c r="N17" s="27">
        <f t="shared" si="2"/>
        <v>330</v>
      </c>
      <c r="O17" s="28">
        <v>5100.0</v>
      </c>
      <c r="P17" s="29">
        <f t="shared" si="3"/>
        <v>1020</v>
      </c>
    </row>
    <row r="18">
      <c r="B18" s="21"/>
      <c r="C18" s="6" t="s">
        <v>14</v>
      </c>
      <c r="D18" s="6">
        <v>64.0</v>
      </c>
      <c r="E18" s="30">
        <f t="shared" si="4"/>
        <v>83</v>
      </c>
      <c r="F18" s="30">
        <f t="shared" si="5"/>
        <v>10</v>
      </c>
      <c r="G18" s="30">
        <f t="shared" si="6"/>
        <v>340</v>
      </c>
      <c r="I18" s="15"/>
      <c r="J18" s="10" t="s">
        <v>27</v>
      </c>
      <c r="K18" s="13" t="s">
        <v>14</v>
      </c>
      <c r="L18" s="6">
        <v>56.0</v>
      </c>
      <c r="M18" s="26">
        <f t="shared" si="1"/>
        <v>3750</v>
      </c>
      <c r="N18" s="27">
        <f t="shared" si="2"/>
        <v>289</v>
      </c>
      <c r="O18" s="28">
        <v>5600.0</v>
      </c>
      <c r="P18" s="29">
        <f t="shared" si="3"/>
        <v>1561</v>
      </c>
    </row>
    <row r="19">
      <c r="B19" s="15"/>
      <c r="C19" s="10" t="s">
        <v>14</v>
      </c>
      <c r="D19" s="6">
        <v>56.0</v>
      </c>
      <c r="E19" s="30">
        <f t="shared" si="4"/>
        <v>82</v>
      </c>
      <c r="F19" s="30">
        <f t="shared" si="5"/>
        <v>10</v>
      </c>
      <c r="G19" s="30">
        <f t="shared" si="6"/>
        <v>335</v>
      </c>
      <c r="P19" s="32">
        <f>SUM(P16:P18)</f>
        <v>4892</v>
      </c>
    </row>
    <row r="23">
      <c r="H23" s="31"/>
    </row>
    <row r="24">
      <c r="H24" s="33"/>
    </row>
    <row r="25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</sheetData>
  <mergeCells count="11">
    <mergeCell ref="C15:C16"/>
    <mergeCell ref="D15:D16"/>
    <mergeCell ref="I11:I13"/>
    <mergeCell ref="I15:I18"/>
    <mergeCell ref="B2:D2"/>
    <mergeCell ref="B6:B7"/>
    <mergeCell ref="C6:E6"/>
    <mergeCell ref="F6:G6"/>
    <mergeCell ref="J11:J13"/>
    <mergeCell ref="B15:B19"/>
    <mergeCell ref="E15:G15"/>
  </mergeCells>
  <dataValidations>
    <dataValidation type="list" allowBlank="1" showErrorMessage="1" sqref="J16:J18">
      <formula1>"La Mesa,Rancho,Rockford Hills,Pillbox,Hawick,Little Seoul,Del Piero,Mission Row,Textile City,La Mesa,Strawberry,West Vinewood"</formula1>
    </dataValidation>
    <dataValidation type="list" allowBlank="1" showErrorMessage="1" sqref="K16:K18 C17:C19">
      <formula1>"Combat Pistol,Heavy Pistol,Machine Pistol,Sawn Off,Pump"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6.75"/>
    <col customWidth="1" min="4" max="4" width="13.88"/>
    <col customWidth="1" min="5" max="5" width="16.5"/>
    <col customWidth="1" min="9" max="9" width="15.5"/>
    <col customWidth="1" min="10" max="10" width="18.88"/>
    <col customWidth="1" min="11" max="11" width="16.75"/>
    <col customWidth="1" min="12" max="12" width="12.88"/>
    <col customWidth="1" min="13" max="13" width="15.0"/>
    <col customWidth="1" min="14" max="14" width="15.13"/>
    <col customWidth="1" min="18" max="18" width="16.75"/>
    <col customWidth="1" min="19" max="19" width="15.75"/>
    <col customWidth="1" min="20" max="20" width="13.13"/>
    <col customWidth="1" min="21" max="21" width="20.63"/>
    <col customWidth="1" min="22" max="22" width="13.88"/>
    <col customWidth="1" min="23" max="23" width="15.75"/>
  </cols>
  <sheetData>
    <row r="1">
      <c r="B1" s="9" t="s">
        <v>28</v>
      </c>
    </row>
    <row r="2">
      <c r="B2" s="1" t="s">
        <v>0</v>
      </c>
      <c r="C2" s="2"/>
      <c r="D2" s="3"/>
    </row>
    <row r="3">
      <c r="B3" s="4" t="s">
        <v>1</v>
      </c>
      <c r="C3" s="4" t="s">
        <v>2</v>
      </c>
      <c r="D3" s="4" t="s">
        <v>3</v>
      </c>
      <c r="I3" s="5" t="s">
        <v>4</v>
      </c>
    </row>
    <row r="4">
      <c r="B4" s="6">
        <v>35.0</v>
      </c>
      <c r="C4" s="6">
        <v>75.0</v>
      </c>
      <c r="D4" s="6">
        <v>1.25</v>
      </c>
      <c r="I4" s="7" t="s">
        <v>5</v>
      </c>
      <c r="J4" s="8" t="s">
        <v>6</v>
      </c>
      <c r="K4" s="8" t="s">
        <v>7</v>
      </c>
      <c r="L4" s="8" t="s">
        <v>8</v>
      </c>
      <c r="AD4" s="9"/>
    </row>
    <row r="5">
      <c r="I5" s="10" t="s">
        <v>9</v>
      </c>
      <c r="J5" s="11">
        <v>2000.0</v>
      </c>
      <c r="K5" s="12">
        <v>12.5</v>
      </c>
      <c r="L5" s="13">
        <v>12.0</v>
      </c>
      <c r="AD5" s="9"/>
    </row>
    <row r="6">
      <c r="B6" s="14" t="s">
        <v>5</v>
      </c>
      <c r="C6" s="1" t="s">
        <v>10</v>
      </c>
      <c r="D6" s="2"/>
      <c r="E6" s="3"/>
      <c r="F6" s="1" t="s">
        <v>11</v>
      </c>
      <c r="G6" s="3"/>
      <c r="I6" s="10" t="s">
        <v>12</v>
      </c>
      <c r="J6" s="11">
        <v>3100.0</v>
      </c>
      <c r="K6" s="12">
        <v>18.75</v>
      </c>
      <c r="L6" s="13">
        <v>18.0</v>
      </c>
      <c r="AD6" s="9"/>
    </row>
    <row r="7">
      <c r="B7" s="15"/>
      <c r="C7" s="16" t="s">
        <v>1</v>
      </c>
      <c r="D7" s="16" t="s">
        <v>2</v>
      </c>
      <c r="E7" s="16" t="s">
        <v>3</v>
      </c>
      <c r="F7" s="16" t="s">
        <v>1</v>
      </c>
      <c r="G7" s="16" t="s">
        <v>3</v>
      </c>
      <c r="H7" s="17"/>
      <c r="I7" s="10" t="s">
        <v>13</v>
      </c>
      <c r="J7" s="11">
        <v>6000.0</v>
      </c>
      <c r="K7" s="12">
        <v>41.25</v>
      </c>
      <c r="L7" s="13">
        <v>12.0</v>
      </c>
      <c r="P7" s="9"/>
      <c r="AD7" s="9"/>
    </row>
    <row r="8">
      <c r="B8" s="18" t="s">
        <v>9</v>
      </c>
      <c r="C8" s="6">
        <v>50.0</v>
      </c>
      <c r="D8" s="6">
        <v>0.0</v>
      </c>
      <c r="E8" s="6">
        <v>200.0</v>
      </c>
      <c r="F8" s="6">
        <v>0.0</v>
      </c>
      <c r="G8" s="6">
        <v>10.0</v>
      </c>
      <c r="H8" s="19"/>
      <c r="I8" s="10" t="s">
        <v>14</v>
      </c>
      <c r="J8" s="11">
        <v>3750.0</v>
      </c>
      <c r="K8" s="12">
        <v>41.25</v>
      </c>
      <c r="L8" s="13">
        <v>8.0</v>
      </c>
      <c r="P8" s="17"/>
    </row>
    <row r="9">
      <c r="B9" s="18" t="s">
        <v>12</v>
      </c>
      <c r="C9" s="6">
        <v>60.0</v>
      </c>
      <c r="D9" s="6">
        <v>10.0</v>
      </c>
      <c r="E9" s="6">
        <v>200.0</v>
      </c>
      <c r="F9" s="6">
        <v>0.0</v>
      </c>
      <c r="G9" s="6">
        <v>15.0</v>
      </c>
      <c r="H9" s="19"/>
      <c r="I9" s="10" t="s">
        <v>15</v>
      </c>
      <c r="J9" s="11">
        <v>4800.0</v>
      </c>
      <c r="K9" s="12">
        <v>41.25</v>
      </c>
      <c r="L9" s="13">
        <v>8.0</v>
      </c>
    </row>
    <row r="10">
      <c r="B10" s="18" t="s">
        <v>13</v>
      </c>
      <c r="C10" s="6">
        <v>100.0</v>
      </c>
      <c r="D10" s="6">
        <v>25.0</v>
      </c>
      <c r="E10" s="6">
        <v>500.0</v>
      </c>
      <c r="F10" s="6">
        <v>1.0</v>
      </c>
      <c r="G10" s="6">
        <v>5.0</v>
      </c>
      <c r="H10" s="19"/>
      <c r="I10" s="9" t="s">
        <v>29</v>
      </c>
      <c r="J10" s="9">
        <v>0.0</v>
      </c>
      <c r="K10" s="9">
        <v>0.0</v>
      </c>
      <c r="L10" s="9">
        <v>1.0</v>
      </c>
    </row>
    <row r="11">
      <c r="B11" s="18" t="s">
        <v>14</v>
      </c>
      <c r="C11" s="6">
        <v>75.0</v>
      </c>
      <c r="D11" s="6">
        <v>10.0</v>
      </c>
      <c r="E11" s="6">
        <v>300.0</v>
      </c>
      <c r="F11" s="6">
        <v>1.0</v>
      </c>
      <c r="G11" s="6">
        <v>5.0</v>
      </c>
      <c r="I11" s="23" t="s">
        <v>30</v>
      </c>
      <c r="J11" s="10" t="s">
        <v>1</v>
      </c>
      <c r="K11" s="34">
        <v>52.0</v>
      </c>
      <c r="L11" s="35">
        <f>K11-E20</f>
        <v>-252</v>
      </c>
      <c r="M11" s="23" t="s">
        <v>18</v>
      </c>
      <c r="N11" s="10" t="s">
        <v>1</v>
      </c>
      <c r="O11" s="36">
        <f>K11-E17</f>
        <v>-56</v>
      </c>
    </row>
    <row r="12">
      <c r="B12" s="18" t="s">
        <v>15</v>
      </c>
      <c r="C12" s="6">
        <v>80.0</v>
      </c>
      <c r="D12" s="6">
        <v>20.0</v>
      </c>
      <c r="E12" s="6">
        <v>400.0</v>
      </c>
      <c r="F12" s="6">
        <v>1.0</v>
      </c>
      <c r="G12" s="6">
        <v>5.0</v>
      </c>
      <c r="H12" s="17"/>
      <c r="I12" s="21"/>
      <c r="J12" s="10" t="s">
        <v>2</v>
      </c>
      <c r="K12" s="34">
        <v>10.0</v>
      </c>
      <c r="M12" s="21"/>
      <c r="N12" s="10" t="s">
        <v>2</v>
      </c>
      <c r="O12" s="36">
        <f>K12-F17</f>
        <v>-15</v>
      </c>
    </row>
    <row r="13">
      <c r="B13" s="9" t="s">
        <v>31</v>
      </c>
      <c r="C13" s="9">
        <v>0.0</v>
      </c>
      <c r="D13" s="9">
        <v>0.0</v>
      </c>
      <c r="E13" s="9">
        <v>0.0</v>
      </c>
      <c r="F13" s="9">
        <v>0.0</v>
      </c>
      <c r="G13" s="9">
        <v>0.0</v>
      </c>
      <c r="I13" s="15"/>
      <c r="J13" s="10" t="s">
        <v>3</v>
      </c>
      <c r="K13" s="34">
        <v>647.0</v>
      </c>
      <c r="M13" s="15"/>
      <c r="N13" s="10" t="s">
        <v>3</v>
      </c>
      <c r="O13" s="10">
        <f>K13-G17</f>
        <v>107</v>
      </c>
    </row>
    <row r="14">
      <c r="K14" s="9" t="s">
        <v>32</v>
      </c>
    </row>
    <row r="15">
      <c r="B15" s="22" t="s">
        <v>17</v>
      </c>
      <c r="C15" s="23" t="s">
        <v>5</v>
      </c>
      <c r="D15" s="23" t="s">
        <v>11</v>
      </c>
      <c r="E15" s="1" t="s">
        <v>18</v>
      </c>
      <c r="F15" s="2"/>
      <c r="G15" s="3"/>
      <c r="H15" s="31" t="s">
        <v>33</v>
      </c>
      <c r="I15" s="23" t="s">
        <v>19</v>
      </c>
      <c r="J15" s="24" t="s">
        <v>20</v>
      </c>
      <c r="K15" s="24" t="s">
        <v>5</v>
      </c>
      <c r="L15" s="24" t="s">
        <v>11</v>
      </c>
      <c r="M15" s="25" t="s">
        <v>21</v>
      </c>
      <c r="N15" s="8" t="s">
        <v>22</v>
      </c>
      <c r="O15" s="24" t="s">
        <v>23</v>
      </c>
      <c r="P15" s="8" t="s">
        <v>24</v>
      </c>
    </row>
    <row r="16">
      <c r="B16" s="21"/>
      <c r="C16" s="15"/>
      <c r="D16" s="15"/>
      <c r="E16" s="4" t="s">
        <v>1</v>
      </c>
      <c r="F16" s="4" t="s">
        <v>2</v>
      </c>
      <c r="G16" s="4" t="s">
        <v>3</v>
      </c>
      <c r="H16" s="31" t="s">
        <v>34</v>
      </c>
      <c r="I16" s="21"/>
      <c r="J16" s="10" t="s">
        <v>26</v>
      </c>
      <c r="K16" s="13" t="s">
        <v>13</v>
      </c>
      <c r="L16" s="6">
        <v>96.0</v>
      </c>
      <c r="M16" s="28">
        <f t="shared" ref="M16:M18" si="1">SWITCH(K16, "Combat Pistol", 2000, "Heavy Pistol", 3100, "Machine Pistol", 6000, "Sawn Off", 3750, "Pump", 4800, "")</f>
        <v>6000</v>
      </c>
      <c r="N16" s="27">
        <f t="shared" ref="N16:N18" si="2">IF(L16="", "", ROUND((XLOOKUP(K16, $I$5:$I$9, $K$5:$K$9) / XLOOKUP(K16, $I$5:$I$9, $L$5:$L$9)) * L16, 0))</f>
        <v>330</v>
      </c>
      <c r="O16" s="28">
        <v>8365.17</v>
      </c>
      <c r="P16" s="29">
        <f t="shared" ref="P16:P18" si="3">O16-(M16+N16)</f>
        <v>2035.17</v>
      </c>
    </row>
    <row r="17">
      <c r="B17" s="21"/>
      <c r="C17" s="6" t="s">
        <v>13</v>
      </c>
      <c r="D17" s="6">
        <v>96.0</v>
      </c>
      <c r="E17" s="30">
        <f t="shared" ref="E17:E19" si="4">IF(D17="", "", XLOOKUP(C17, $B$8:$B$13, $C$8:$C$13) + (CEILING(D17 / XLOOKUP(C17, $B$8:$B$13, $L$5:$L$10), 1) * XLOOKUP(C17, $B$8:$B$13, $F$8:$F$13)))</f>
        <v>108</v>
      </c>
      <c r="F17" s="30">
        <f t="shared" ref="F17:F19" si="5">IF(D17="", "", XLOOKUP(C17, $B$8:$B$13, $D$8:$D$13) + (CEILING(D17 / XLOOKUP(C17, $B$8:$B$13, $L$5:$L$10), 1) * 0))</f>
        <v>25</v>
      </c>
      <c r="G17" s="30">
        <f t="shared" ref="G17:G19" si="6">IF(D17="", "", XLOOKUP(C17, $B$8:$B$13, $E$8:$E$13) + (CEILING(D17 / XLOOKUP(C17, $B$8:$B$13, $L$5:$L$10), 1) * XLOOKUP(C17, $B$8:$B$13, $G$8:$G$13)))</f>
        <v>540</v>
      </c>
      <c r="H17" s="37">
        <f t="shared" ref="H17:H20" si="7">E17*$B$4+F17*$C$4+G17*$D$4</f>
        <v>6330</v>
      </c>
      <c r="I17" s="21"/>
      <c r="J17" s="10" t="s">
        <v>27</v>
      </c>
      <c r="K17" s="13" t="s">
        <v>15</v>
      </c>
      <c r="L17" s="6">
        <v>80.0</v>
      </c>
      <c r="M17" s="26">
        <f t="shared" si="1"/>
        <v>4800</v>
      </c>
      <c r="N17" s="27">
        <f t="shared" si="2"/>
        <v>413</v>
      </c>
      <c r="O17" s="28">
        <v>6203.62</v>
      </c>
      <c r="P17" s="29">
        <f t="shared" si="3"/>
        <v>990.62</v>
      </c>
    </row>
    <row r="18">
      <c r="B18" s="21"/>
      <c r="C18" s="6" t="s">
        <v>15</v>
      </c>
      <c r="D18" s="6">
        <v>80.0</v>
      </c>
      <c r="E18" s="30">
        <f t="shared" si="4"/>
        <v>90</v>
      </c>
      <c r="F18" s="30">
        <f t="shared" si="5"/>
        <v>20</v>
      </c>
      <c r="G18" s="30">
        <f t="shared" si="6"/>
        <v>450</v>
      </c>
      <c r="H18" s="37">
        <f t="shared" si="7"/>
        <v>5212.5</v>
      </c>
      <c r="I18" s="15"/>
      <c r="J18" s="10" t="s">
        <v>25</v>
      </c>
      <c r="K18" s="13" t="s">
        <v>13</v>
      </c>
      <c r="L18" s="6">
        <v>72.0</v>
      </c>
      <c r="M18" s="26">
        <f t="shared" si="1"/>
        <v>6000</v>
      </c>
      <c r="N18" s="27">
        <f t="shared" si="2"/>
        <v>248</v>
      </c>
      <c r="O18" s="28">
        <v>8467.65</v>
      </c>
      <c r="P18" s="29">
        <f t="shared" si="3"/>
        <v>2219.65</v>
      </c>
    </row>
    <row r="19">
      <c r="B19" s="15"/>
      <c r="C19" s="10" t="s">
        <v>13</v>
      </c>
      <c r="D19" s="6">
        <v>72.0</v>
      </c>
      <c r="E19" s="30">
        <f t="shared" si="4"/>
        <v>106</v>
      </c>
      <c r="F19" s="30">
        <f t="shared" si="5"/>
        <v>25</v>
      </c>
      <c r="G19" s="30">
        <f t="shared" si="6"/>
        <v>530</v>
      </c>
      <c r="H19" s="37">
        <f t="shared" si="7"/>
        <v>6247.5</v>
      </c>
      <c r="P19" s="32">
        <f>SUM(P16:P18)</f>
        <v>5245.44</v>
      </c>
    </row>
    <row r="20">
      <c r="B20" s="38" t="s">
        <v>18</v>
      </c>
      <c r="C20" s="2"/>
      <c r="D20" s="3"/>
      <c r="E20" s="36">
        <f t="shared" ref="E20:G20" si="8">SUM(E17:E19)</f>
        <v>304</v>
      </c>
      <c r="F20" s="36">
        <f t="shared" si="8"/>
        <v>70</v>
      </c>
      <c r="G20" s="36">
        <f t="shared" si="8"/>
        <v>1520</v>
      </c>
      <c r="H20" s="37">
        <f t="shared" si="7"/>
        <v>17790</v>
      </c>
      <c r="J20" s="33" t="s">
        <v>35</v>
      </c>
      <c r="K20" s="39">
        <v>0.78125</v>
      </c>
      <c r="L20" s="9" t="s">
        <v>36</v>
      </c>
    </row>
    <row r="21">
      <c r="K21" s="9"/>
    </row>
    <row r="23">
      <c r="H23" s="31"/>
    </row>
    <row r="24">
      <c r="H24" s="33"/>
    </row>
    <row r="25">
      <c r="B25" s="14" t="s">
        <v>37</v>
      </c>
      <c r="C25" s="8" t="s">
        <v>38</v>
      </c>
      <c r="D25" s="8" t="s">
        <v>1</v>
      </c>
      <c r="E25" s="8" t="s">
        <v>39</v>
      </c>
      <c r="F25" s="8" t="s">
        <v>3</v>
      </c>
      <c r="G25" s="8" t="s">
        <v>40</v>
      </c>
      <c r="H25" s="9" t="s">
        <v>41</v>
      </c>
      <c r="I25" s="14" t="s">
        <v>24</v>
      </c>
      <c r="J25" s="8" t="s">
        <v>38</v>
      </c>
      <c r="K25" s="8" t="s">
        <v>42</v>
      </c>
      <c r="L25" s="8" t="s">
        <v>24</v>
      </c>
      <c r="M25" s="6" t="s">
        <v>40</v>
      </c>
    </row>
    <row r="26">
      <c r="B26" s="21"/>
      <c r="C26" s="6" t="s">
        <v>43</v>
      </c>
      <c r="D26" s="6">
        <v>423.0</v>
      </c>
      <c r="E26" s="6">
        <v>95.0</v>
      </c>
      <c r="F26" s="6"/>
      <c r="G26" s="40">
        <f t="shared" ref="G26:G41" si="9">(D26*$B$4)+(E26*$C$4)+(F26*$D$4)</f>
        <v>21930</v>
      </c>
      <c r="H26" s="35">
        <f t="shared" ref="H26:H41" si="10">1000-(D26+E26)</f>
        <v>482</v>
      </c>
      <c r="I26" s="21"/>
      <c r="J26" s="41">
        <v>46239.0</v>
      </c>
      <c r="K26" s="13" t="s">
        <v>44</v>
      </c>
      <c r="L26" s="13">
        <v>1626.0</v>
      </c>
      <c r="M26" s="42">
        <f>SUM(L26:L46)</f>
        <v>1626</v>
      </c>
    </row>
    <row r="27">
      <c r="B27" s="21"/>
      <c r="C27" s="43"/>
      <c r="D27" s="6"/>
      <c r="E27" s="6"/>
      <c r="F27" s="6"/>
      <c r="G27" s="40">
        <f t="shared" si="9"/>
        <v>0</v>
      </c>
      <c r="H27" s="35">
        <f t="shared" si="10"/>
        <v>1000</v>
      </c>
      <c r="I27" s="21"/>
      <c r="J27" s="44"/>
      <c r="K27" s="13"/>
      <c r="L27" s="13"/>
      <c r="M27" s="21"/>
    </row>
    <row r="28">
      <c r="B28" s="21"/>
      <c r="C28" s="45"/>
      <c r="D28" s="13"/>
      <c r="E28" s="13"/>
      <c r="F28" s="13"/>
      <c r="G28" s="40">
        <f t="shared" si="9"/>
        <v>0</v>
      </c>
      <c r="H28" s="35">
        <f t="shared" si="10"/>
        <v>1000</v>
      </c>
      <c r="I28" s="21"/>
      <c r="J28" s="44"/>
      <c r="K28" s="13"/>
      <c r="L28" s="13"/>
      <c r="M28" s="21"/>
    </row>
    <row r="29">
      <c r="B29" s="21"/>
      <c r="C29" s="45"/>
      <c r="D29" s="13"/>
      <c r="E29" s="40"/>
      <c r="F29" s="13"/>
      <c r="G29" s="40">
        <f t="shared" si="9"/>
        <v>0</v>
      </c>
      <c r="H29" s="35">
        <f t="shared" si="10"/>
        <v>1000</v>
      </c>
      <c r="I29" s="21"/>
      <c r="J29" s="44"/>
      <c r="K29" s="13"/>
      <c r="L29" s="13"/>
      <c r="M29" s="21"/>
    </row>
    <row r="30">
      <c r="B30" s="21"/>
      <c r="C30" s="6"/>
      <c r="D30" s="6"/>
      <c r="E30" s="6"/>
      <c r="F30" s="6"/>
      <c r="G30" s="40">
        <f t="shared" si="9"/>
        <v>0</v>
      </c>
      <c r="H30" s="35">
        <f t="shared" si="10"/>
        <v>1000</v>
      </c>
      <c r="I30" s="21"/>
      <c r="J30" s="44"/>
      <c r="K30" s="13"/>
      <c r="L30" s="13"/>
      <c r="M30" s="21"/>
    </row>
    <row r="31">
      <c r="B31" s="21"/>
      <c r="C31" s="30"/>
      <c r="D31" s="30"/>
      <c r="E31" s="30"/>
      <c r="F31" s="30"/>
      <c r="G31" s="40">
        <f t="shared" si="9"/>
        <v>0</v>
      </c>
      <c r="H31" s="35">
        <f t="shared" si="10"/>
        <v>1000</v>
      </c>
      <c r="I31" s="21"/>
      <c r="J31" s="44"/>
      <c r="K31" s="13"/>
      <c r="L31" s="13"/>
      <c r="M31" s="21"/>
    </row>
    <row r="32">
      <c r="B32" s="21"/>
      <c r="C32" s="30"/>
      <c r="D32" s="30"/>
      <c r="E32" s="30"/>
      <c r="F32" s="30"/>
      <c r="G32" s="40">
        <f t="shared" si="9"/>
        <v>0</v>
      </c>
      <c r="H32" s="35">
        <f t="shared" si="10"/>
        <v>1000</v>
      </c>
      <c r="I32" s="21"/>
      <c r="J32" s="44"/>
      <c r="K32" s="13"/>
      <c r="L32" s="6"/>
      <c r="M32" s="21"/>
    </row>
    <row r="33">
      <c r="B33" s="21"/>
      <c r="C33" s="30"/>
      <c r="D33" s="30"/>
      <c r="E33" s="30"/>
      <c r="F33" s="30"/>
      <c r="G33" s="40">
        <f t="shared" si="9"/>
        <v>0</v>
      </c>
      <c r="H33" s="35">
        <f t="shared" si="10"/>
        <v>1000</v>
      </c>
      <c r="I33" s="21"/>
      <c r="J33" s="44"/>
      <c r="K33" s="13"/>
      <c r="L33" s="6"/>
      <c r="M33" s="21"/>
    </row>
    <row r="34">
      <c r="B34" s="21"/>
      <c r="C34" s="30"/>
      <c r="D34" s="30"/>
      <c r="E34" s="30"/>
      <c r="F34" s="30"/>
      <c r="G34" s="40">
        <f t="shared" si="9"/>
        <v>0</v>
      </c>
      <c r="H34" s="35">
        <f t="shared" si="10"/>
        <v>1000</v>
      </c>
      <c r="I34" s="21"/>
      <c r="J34" s="44"/>
      <c r="K34" s="13"/>
      <c r="L34" s="6"/>
      <c r="M34" s="21"/>
    </row>
    <row r="35">
      <c r="B35" s="21"/>
      <c r="C35" s="30"/>
      <c r="D35" s="30"/>
      <c r="E35" s="30"/>
      <c r="F35" s="30"/>
      <c r="G35" s="40">
        <f t="shared" si="9"/>
        <v>0</v>
      </c>
      <c r="H35" s="35">
        <f t="shared" si="10"/>
        <v>1000</v>
      </c>
      <c r="I35" s="21"/>
      <c r="J35" s="44"/>
      <c r="K35" s="46"/>
      <c r="L35" s="6"/>
      <c r="M35" s="21"/>
    </row>
    <row r="36">
      <c r="B36" s="21"/>
      <c r="C36" s="30"/>
      <c r="D36" s="30"/>
      <c r="E36" s="30"/>
      <c r="F36" s="30"/>
      <c r="G36" s="40">
        <f t="shared" si="9"/>
        <v>0</v>
      </c>
      <c r="H36" s="35">
        <f t="shared" si="10"/>
        <v>1000</v>
      </c>
      <c r="I36" s="21"/>
      <c r="J36" s="44"/>
      <c r="K36" s="46"/>
      <c r="L36" s="6"/>
      <c r="M36" s="21"/>
    </row>
    <row r="37">
      <c r="B37" s="21"/>
      <c r="C37" s="30"/>
      <c r="D37" s="30"/>
      <c r="E37" s="30"/>
      <c r="F37" s="30"/>
      <c r="G37" s="40">
        <f t="shared" si="9"/>
        <v>0</v>
      </c>
      <c r="H37" s="35">
        <f t="shared" si="10"/>
        <v>1000</v>
      </c>
      <c r="I37" s="21"/>
      <c r="J37" s="44"/>
      <c r="K37" s="46"/>
      <c r="L37" s="6"/>
      <c r="M37" s="21"/>
    </row>
    <row r="38">
      <c r="B38" s="21"/>
      <c r="C38" s="30"/>
      <c r="D38" s="30"/>
      <c r="E38" s="30"/>
      <c r="F38" s="30"/>
      <c r="G38" s="40">
        <f t="shared" si="9"/>
        <v>0</v>
      </c>
      <c r="H38" s="35">
        <f t="shared" si="10"/>
        <v>1000</v>
      </c>
      <c r="I38" s="21"/>
      <c r="J38" s="44"/>
      <c r="K38" s="46"/>
      <c r="L38" s="6"/>
      <c r="M38" s="21"/>
    </row>
    <row r="39">
      <c r="B39" s="21"/>
      <c r="C39" s="30"/>
      <c r="D39" s="30"/>
      <c r="E39" s="30"/>
      <c r="F39" s="30"/>
      <c r="G39" s="40">
        <f t="shared" si="9"/>
        <v>0</v>
      </c>
      <c r="H39" s="35">
        <f t="shared" si="10"/>
        <v>1000</v>
      </c>
      <c r="I39" s="21"/>
      <c r="J39" s="44"/>
      <c r="K39" s="46"/>
      <c r="L39" s="6"/>
      <c r="M39" s="21"/>
    </row>
    <row r="40">
      <c r="B40" s="21"/>
      <c r="C40" s="30"/>
      <c r="D40" s="30"/>
      <c r="E40" s="30"/>
      <c r="F40" s="30"/>
      <c r="G40" s="40">
        <f t="shared" si="9"/>
        <v>0</v>
      </c>
      <c r="H40" s="35">
        <f t="shared" si="10"/>
        <v>1000</v>
      </c>
      <c r="I40" s="21"/>
      <c r="J40" s="47"/>
      <c r="K40" s="48"/>
      <c r="L40" s="6"/>
      <c r="M40" s="21"/>
    </row>
    <row r="41">
      <c r="B41" s="15"/>
      <c r="C41" s="30"/>
      <c r="D41" s="30"/>
      <c r="E41" s="30"/>
      <c r="F41" s="30"/>
      <c r="G41" s="40">
        <f t="shared" si="9"/>
        <v>0</v>
      </c>
      <c r="H41" s="35">
        <f t="shared" si="10"/>
        <v>1000</v>
      </c>
      <c r="I41" s="21"/>
      <c r="J41" s="45"/>
      <c r="K41" s="48"/>
      <c r="L41" s="6"/>
      <c r="M41" s="21"/>
    </row>
    <row r="42">
      <c r="G42" s="49">
        <f>SUM(G26:G41)</f>
        <v>21930</v>
      </c>
      <c r="I42" s="21"/>
      <c r="J42" s="50"/>
      <c r="K42" s="48"/>
      <c r="L42" s="6"/>
      <c r="M42" s="21"/>
    </row>
    <row r="43">
      <c r="I43" s="21"/>
      <c r="J43" s="44"/>
      <c r="K43" s="48"/>
      <c r="L43" s="6"/>
      <c r="M43" s="21"/>
    </row>
    <row r="44">
      <c r="I44" s="21"/>
      <c r="J44" s="44"/>
      <c r="K44" s="48"/>
      <c r="L44" s="6"/>
      <c r="M44" s="21"/>
    </row>
    <row r="45">
      <c r="I45" s="21"/>
      <c r="J45" s="44"/>
      <c r="K45" s="46"/>
      <c r="L45" s="13"/>
      <c r="M45" s="21"/>
    </row>
    <row r="46">
      <c r="I46" s="15"/>
      <c r="J46" s="47"/>
      <c r="K46" s="46"/>
      <c r="L46" s="13"/>
      <c r="M46" s="15"/>
    </row>
  </sheetData>
  <mergeCells count="15">
    <mergeCell ref="C15:C16"/>
    <mergeCell ref="D15:D16"/>
    <mergeCell ref="B25:B41"/>
    <mergeCell ref="I11:I13"/>
    <mergeCell ref="I15:I18"/>
    <mergeCell ref="I25:I46"/>
    <mergeCell ref="M26:M46"/>
    <mergeCell ref="B2:D2"/>
    <mergeCell ref="B6:B7"/>
    <mergeCell ref="C6:E6"/>
    <mergeCell ref="F6:G6"/>
    <mergeCell ref="M11:M13"/>
    <mergeCell ref="B15:B19"/>
    <mergeCell ref="E15:G15"/>
    <mergeCell ref="B20:D20"/>
  </mergeCells>
  <dataValidations>
    <dataValidation type="list" allowBlank="1" showErrorMessage="1" sqref="J16:J18">
      <formula1>"La Mesa,Rancho,Rockford Hills,Pillbox,Hawick,Little Seoul,Del Piero,Mission Row,Textile City,La Mesa,Strawberry,West Vinewood"</formula1>
    </dataValidation>
    <dataValidation type="list" allowBlank="1" showErrorMessage="1" sqref="C17:C19">
      <formula1>"Combat Pistol,Heavy Pistol,Machine Pistol,Sawn Off,Pump,None"</formula1>
    </dataValidation>
    <dataValidation type="list" allowBlank="1" showErrorMessage="1" sqref="K16:K18">
      <formula1>"Combat Pistol,Heavy Pistol,Machine Pistol,Sawn Off,Pump,NONE"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6.75"/>
    <col customWidth="1" min="4" max="4" width="13.88"/>
    <col customWidth="1" min="5" max="5" width="16.5"/>
    <col customWidth="1" min="9" max="9" width="15.5"/>
    <col customWidth="1" min="10" max="10" width="18.88"/>
    <col customWidth="1" min="11" max="11" width="16.75"/>
    <col customWidth="1" min="12" max="12" width="12.88"/>
    <col customWidth="1" min="13" max="13" width="15.0"/>
    <col customWidth="1" min="14" max="14" width="15.13"/>
    <col customWidth="1" min="18" max="18" width="16.75"/>
    <col customWidth="1" min="19" max="19" width="15.75"/>
    <col customWidth="1" min="20" max="20" width="13.13"/>
    <col customWidth="1" min="21" max="21" width="20.63"/>
    <col customWidth="1" min="22" max="22" width="13.88"/>
    <col customWidth="1" min="23" max="23" width="15.75"/>
  </cols>
  <sheetData>
    <row r="2">
      <c r="B2" s="1" t="s">
        <v>0</v>
      </c>
      <c r="C2" s="2"/>
      <c r="D2" s="3"/>
    </row>
    <row r="3">
      <c r="B3" s="4" t="s">
        <v>1</v>
      </c>
      <c r="C3" s="4" t="s">
        <v>2</v>
      </c>
      <c r="D3" s="4" t="s">
        <v>3</v>
      </c>
      <c r="I3" s="5" t="s">
        <v>4</v>
      </c>
    </row>
    <row r="4">
      <c r="B4" s="6">
        <v>35.0</v>
      </c>
      <c r="C4" s="6">
        <v>75.0</v>
      </c>
      <c r="D4" s="6">
        <v>1.25</v>
      </c>
      <c r="I4" s="7" t="s">
        <v>5</v>
      </c>
      <c r="J4" s="8" t="s">
        <v>6</v>
      </c>
      <c r="K4" s="8" t="s">
        <v>7</v>
      </c>
      <c r="L4" s="8" t="s">
        <v>8</v>
      </c>
      <c r="AD4" s="9"/>
    </row>
    <row r="5">
      <c r="I5" s="10" t="s">
        <v>9</v>
      </c>
      <c r="J5" s="11">
        <v>2000.0</v>
      </c>
      <c r="K5" s="12">
        <v>12.5</v>
      </c>
      <c r="L5" s="13">
        <v>12.0</v>
      </c>
      <c r="AD5" s="9"/>
    </row>
    <row r="6">
      <c r="B6" s="14" t="s">
        <v>5</v>
      </c>
      <c r="C6" s="1" t="s">
        <v>10</v>
      </c>
      <c r="D6" s="2"/>
      <c r="E6" s="3"/>
      <c r="F6" s="1" t="s">
        <v>11</v>
      </c>
      <c r="G6" s="3"/>
      <c r="I6" s="10" t="s">
        <v>12</v>
      </c>
      <c r="J6" s="11">
        <v>3100.0</v>
      </c>
      <c r="K6" s="12">
        <v>18.75</v>
      </c>
      <c r="L6" s="13">
        <v>18.0</v>
      </c>
      <c r="AD6" s="9"/>
    </row>
    <row r="7">
      <c r="B7" s="15"/>
      <c r="C7" s="16" t="s">
        <v>1</v>
      </c>
      <c r="D7" s="16" t="s">
        <v>2</v>
      </c>
      <c r="E7" s="16" t="s">
        <v>3</v>
      </c>
      <c r="F7" s="16" t="s">
        <v>1</v>
      </c>
      <c r="G7" s="16" t="s">
        <v>3</v>
      </c>
      <c r="H7" s="17"/>
      <c r="I7" s="10" t="s">
        <v>13</v>
      </c>
      <c r="J7" s="11">
        <v>6000.0</v>
      </c>
      <c r="K7" s="12">
        <v>41.25</v>
      </c>
      <c r="L7" s="13">
        <v>12.0</v>
      </c>
      <c r="P7" s="9"/>
      <c r="AD7" s="9"/>
    </row>
    <row r="8">
      <c r="B8" s="18" t="s">
        <v>9</v>
      </c>
      <c r="C8" s="6">
        <v>50.0</v>
      </c>
      <c r="D8" s="6">
        <v>0.0</v>
      </c>
      <c r="E8" s="6">
        <v>200.0</v>
      </c>
      <c r="F8" s="6">
        <v>0.0</v>
      </c>
      <c r="G8" s="6">
        <v>10.0</v>
      </c>
      <c r="H8" s="19"/>
      <c r="I8" s="10" t="s">
        <v>14</v>
      </c>
      <c r="J8" s="11">
        <v>3750.0</v>
      </c>
      <c r="K8" s="12">
        <v>41.25</v>
      </c>
      <c r="L8" s="13">
        <v>8.0</v>
      </c>
      <c r="P8" s="17"/>
    </row>
    <row r="9">
      <c r="B9" s="18" t="s">
        <v>12</v>
      </c>
      <c r="C9" s="6">
        <v>60.0</v>
      </c>
      <c r="D9" s="6">
        <v>10.0</v>
      </c>
      <c r="E9" s="6">
        <v>200.0</v>
      </c>
      <c r="F9" s="6">
        <v>0.0</v>
      </c>
      <c r="G9" s="6">
        <v>15.0</v>
      </c>
      <c r="H9" s="19"/>
      <c r="I9" s="10" t="s">
        <v>15</v>
      </c>
      <c r="J9" s="11">
        <v>4800.0</v>
      </c>
      <c r="K9" s="12">
        <v>41.25</v>
      </c>
      <c r="L9" s="13">
        <v>8.0</v>
      </c>
    </row>
    <row r="10">
      <c r="B10" s="18" t="s">
        <v>13</v>
      </c>
      <c r="C10" s="6">
        <v>100.0</v>
      </c>
      <c r="D10" s="6">
        <v>25.0</v>
      </c>
      <c r="E10" s="6">
        <v>500.0</v>
      </c>
      <c r="F10" s="6">
        <v>1.0</v>
      </c>
      <c r="G10" s="6">
        <v>5.0</v>
      </c>
      <c r="H10" s="19"/>
      <c r="I10" s="9" t="s">
        <v>29</v>
      </c>
      <c r="J10" s="9">
        <v>0.0</v>
      </c>
      <c r="K10" s="9">
        <v>0.0</v>
      </c>
      <c r="L10" s="9">
        <v>1.0</v>
      </c>
    </row>
    <row r="11">
      <c r="B11" s="18" t="s">
        <v>14</v>
      </c>
      <c r="C11" s="6">
        <v>75.0</v>
      </c>
      <c r="D11" s="6">
        <v>10.0</v>
      </c>
      <c r="E11" s="6">
        <v>300.0</v>
      </c>
      <c r="F11" s="6">
        <v>1.0</v>
      </c>
      <c r="G11" s="6">
        <v>5.0</v>
      </c>
      <c r="I11" s="23" t="s">
        <v>30</v>
      </c>
      <c r="J11" s="10" t="s">
        <v>1</v>
      </c>
      <c r="K11" s="34">
        <v>0.0</v>
      </c>
      <c r="M11" s="23" t="s">
        <v>18</v>
      </c>
      <c r="N11" s="10" t="s">
        <v>1</v>
      </c>
      <c r="O11" s="36">
        <f>K11-E17</f>
        <v>-88</v>
      </c>
    </row>
    <row r="12">
      <c r="B12" s="18" t="s">
        <v>15</v>
      </c>
      <c r="C12" s="6">
        <v>80.0</v>
      </c>
      <c r="D12" s="6">
        <v>20.0</v>
      </c>
      <c r="E12" s="6">
        <v>400.0</v>
      </c>
      <c r="F12" s="6">
        <v>1.0</v>
      </c>
      <c r="G12" s="6">
        <v>5.0</v>
      </c>
      <c r="H12" s="17"/>
      <c r="I12" s="21"/>
      <c r="J12" s="10" t="s">
        <v>2</v>
      </c>
      <c r="K12" s="34">
        <v>0.0</v>
      </c>
      <c r="M12" s="21"/>
      <c r="N12" s="10" t="s">
        <v>2</v>
      </c>
      <c r="O12" s="36">
        <f>K12-F17</f>
        <v>-20</v>
      </c>
    </row>
    <row r="13">
      <c r="B13" s="9" t="s">
        <v>31</v>
      </c>
      <c r="C13" s="9">
        <v>0.0</v>
      </c>
      <c r="D13" s="9">
        <v>0.0</v>
      </c>
      <c r="E13" s="9">
        <v>0.0</v>
      </c>
      <c r="F13" s="9">
        <v>0.0</v>
      </c>
      <c r="G13" s="9">
        <v>0.0</v>
      </c>
      <c r="I13" s="15"/>
      <c r="J13" s="10" t="s">
        <v>3</v>
      </c>
      <c r="K13" s="34">
        <v>0.0</v>
      </c>
      <c r="M13" s="15"/>
      <c r="N13" s="10" t="s">
        <v>3</v>
      </c>
      <c r="O13" s="10">
        <f>K13-G17</f>
        <v>-440</v>
      </c>
    </row>
    <row r="15">
      <c r="B15" s="22" t="s">
        <v>17</v>
      </c>
      <c r="C15" s="23" t="s">
        <v>5</v>
      </c>
      <c r="D15" s="23" t="s">
        <v>11</v>
      </c>
      <c r="E15" s="1" t="s">
        <v>18</v>
      </c>
      <c r="F15" s="2"/>
      <c r="G15" s="3"/>
      <c r="I15" s="23" t="s">
        <v>19</v>
      </c>
      <c r="J15" s="24" t="s">
        <v>20</v>
      </c>
      <c r="K15" s="24" t="s">
        <v>5</v>
      </c>
      <c r="L15" s="24" t="s">
        <v>11</v>
      </c>
      <c r="M15" s="25" t="s">
        <v>21</v>
      </c>
      <c r="N15" s="8" t="s">
        <v>22</v>
      </c>
      <c r="O15" s="24" t="s">
        <v>23</v>
      </c>
      <c r="P15" s="8" t="s">
        <v>24</v>
      </c>
    </row>
    <row r="16">
      <c r="B16" s="21"/>
      <c r="C16" s="15"/>
      <c r="D16" s="15"/>
      <c r="E16" s="4" t="s">
        <v>1</v>
      </c>
      <c r="F16" s="4" t="s">
        <v>2</v>
      </c>
      <c r="G16" s="4" t="s">
        <v>3</v>
      </c>
      <c r="I16" s="21"/>
      <c r="J16" s="10" t="s">
        <v>45</v>
      </c>
      <c r="K16" s="13" t="s">
        <v>15</v>
      </c>
      <c r="L16" s="6">
        <v>64.0</v>
      </c>
      <c r="M16" s="26">
        <f t="shared" ref="M16:M18" si="1">SWITCH(K16, "Combat Pistol", 2000, "Heavy Pistol", 3100, "Machine Pistol", 6000, "Sawn Off", 3750, "Pump", 4800, "")</f>
        <v>4800</v>
      </c>
      <c r="N16" s="27">
        <f t="shared" ref="N16:N18" si="2">IF(L16="", "", ROUND((XLOOKUP(K16, $I$5:$I$9, $K$5:$K$9) / XLOOKUP(K16, $I$5:$I$9, $L$5:$L$9)) * L16, 0))</f>
        <v>330</v>
      </c>
      <c r="O16" s="28">
        <v>6258.04</v>
      </c>
      <c r="P16" s="29">
        <f t="shared" ref="P16:P18" si="3">O16-(M16+N16)</f>
        <v>1128.04</v>
      </c>
    </row>
    <row r="17">
      <c r="B17" s="21"/>
      <c r="C17" s="6" t="s">
        <v>15</v>
      </c>
      <c r="D17" s="6">
        <v>64.0</v>
      </c>
      <c r="E17" s="30">
        <f t="shared" ref="E17:E19" si="4">IF(D17="", "", XLOOKUP(C17, $B$8:$B$13, $C$8:$C$13) + (CEILING(D17 / XLOOKUP(C17, $B$8:$B$13, $L$5:$L$10), 1) * XLOOKUP(C17, $B$8:$B$13, $F$8:$F$13)))</f>
        <v>88</v>
      </c>
      <c r="F17" s="30">
        <f t="shared" ref="F17:F19" si="5">IF(D17="", "", XLOOKUP(C17, $B$8:$B$13, $D$8:$D$13) + (CEILING(D17 / XLOOKUP(C17, $B$8:$B$13, $L$5:$L$10), 1) * 0))</f>
        <v>20</v>
      </c>
      <c r="G17" s="30">
        <f t="shared" ref="G17:G19" si="6">IF(D17="", "", XLOOKUP(C17, $B$8:$B$13, $E$8:$E$13) + (CEILING(D17 / XLOOKUP(C17, $B$8:$B$13, $L$5:$L$10), 1) * XLOOKUP(C17, $B$8:$B$13, $G$8:$G$13)))</f>
        <v>440</v>
      </c>
      <c r="H17" s="31"/>
      <c r="I17" s="21"/>
      <c r="J17" s="10" t="s">
        <v>46</v>
      </c>
      <c r="K17" s="13" t="s">
        <v>12</v>
      </c>
      <c r="L17" s="6">
        <v>162.0</v>
      </c>
      <c r="M17" s="26">
        <f t="shared" si="1"/>
        <v>3100</v>
      </c>
      <c r="N17" s="27">
        <f t="shared" si="2"/>
        <v>169</v>
      </c>
      <c r="O17" s="28">
        <v>4480.0</v>
      </c>
      <c r="P17" s="29">
        <f t="shared" si="3"/>
        <v>1211</v>
      </c>
    </row>
    <row r="18">
      <c r="B18" s="21"/>
      <c r="C18" s="6" t="s">
        <v>15</v>
      </c>
      <c r="D18" s="6">
        <v>40.0</v>
      </c>
      <c r="E18" s="30">
        <f t="shared" si="4"/>
        <v>85</v>
      </c>
      <c r="F18" s="30">
        <f t="shared" si="5"/>
        <v>20</v>
      </c>
      <c r="G18" s="30">
        <f t="shared" si="6"/>
        <v>425</v>
      </c>
      <c r="I18" s="15"/>
      <c r="J18" s="10" t="s">
        <v>47</v>
      </c>
      <c r="K18" s="13" t="s">
        <v>15</v>
      </c>
      <c r="L18" s="6">
        <v>40.0</v>
      </c>
      <c r="M18" s="26">
        <f t="shared" si="1"/>
        <v>4800</v>
      </c>
      <c r="N18" s="27">
        <f t="shared" si="2"/>
        <v>206</v>
      </c>
      <c r="O18" s="28">
        <v>6764.44</v>
      </c>
      <c r="P18" s="29">
        <f t="shared" si="3"/>
        <v>1758.44</v>
      </c>
    </row>
    <row r="19">
      <c r="B19" s="15"/>
      <c r="C19" s="10" t="s">
        <v>12</v>
      </c>
      <c r="D19" s="6">
        <v>162.0</v>
      </c>
      <c r="E19" s="30">
        <f t="shared" si="4"/>
        <v>60</v>
      </c>
      <c r="F19" s="30">
        <f t="shared" si="5"/>
        <v>10</v>
      </c>
      <c r="G19" s="30">
        <f t="shared" si="6"/>
        <v>335</v>
      </c>
      <c r="P19" s="32">
        <f>SUM(P16:P18)</f>
        <v>4097.48</v>
      </c>
    </row>
    <row r="20">
      <c r="B20" s="38" t="s">
        <v>18</v>
      </c>
      <c r="C20" s="2"/>
      <c r="D20" s="3"/>
      <c r="E20" s="36">
        <f t="shared" ref="E20:G20" si="7">SUM(E17:E19)</f>
        <v>233</v>
      </c>
      <c r="F20" s="36">
        <f t="shared" si="7"/>
        <v>50</v>
      </c>
      <c r="G20" s="36">
        <f t="shared" si="7"/>
        <v>1200</v>
      </c>
    </row>
    <row r="21">
      <c r="E21" s="35">
        <f>K11-E20</f>
        <v>-233</v>
      </c>
      <c r="F21" s="35">
        <f>K12-F20</f>
        <v>-50</v>
      </c>
      <c r="G21" s="35">
        <f>K13-G20</f>
        <v>-1200</v>
      </c>
    </row>
    <row r="23">
      <c r="H23" s="31"/>
    </row>
    <row r="24">
      <c r="H24" s="33"/>
    </row>
    <row r="25">
      <c r="B25" s="14" t="s">
        <v>37</v>
      </c>
      <c r="C25" s="8" t="s">
        <v>38</v>
      </c>
      <c r="D25" s="8" t="s">
        <v>1</v>
      </c>
      <c r="E25" s="8" t="s">
        <v>39</v>
      </c>
      <c r="F25" s="8" t="s">
        <v>3</v>
      </c>
      <c r="G25" s="8" t="s">
        <v>40</v>
      </c>
      <c r="H25" s="9" t="s">
        <v>41</v>
      </c>
      <c r="I25" s="14" t="s">
        <v>24</v>
      </c>
      <c r="J25" s="8" t="s">
        <v>38</v>
      </c>
      <c r="K25" s="8" t="s">
        <v>42</v>
      </c>
      <c r="L25" s="8" t="s">
        <v>24</v>
      </c>
      <c r="M25" s="6" t="s">
        <v>40</v>
      </c>
    </row>
    <row r="26">
      <c r="B26" s="21"/>
      <c r="C26" s="6" t="s">
        <v>48</v>
      </c>
      <c r="D26" s="6">
        <v>867.0</v>
      </c>
      <c r="E26" s="6">
        <v>133.0</v>
      </c>
      <c r="F26" s="6">
        <v>3135.0</v>
      </c>
      <c r="G26" s="40">
        <f t="shared" ref="G26:G41" si="8">(D26*$B$4)+(E26*$C$4)+(F26*$D$4)</f>
        <v>44238.75</v>
      </c>
      <c r="H26" s="35">
        <f t="shared" ref="H26:H41" si="9">1000-(D26+E26)</f>
        <v>0</v>
      </c>
      <c r="I26" s="21"/>
      <c r="J26" s="51"/>
      <c r="K26" s="13"/>
      <c r="L26" s="13"/>
      <c r="M26" s="42">
        <f>SUM(L26:L46)</f>
        <v>0</v>
      </c>
    </row>
    <row r="27">
      <c r="B27" s="21"/>
      <c r="C27" s="43">
        <v>46027.0</v>
      </c>
      <c r="D27" s="6">
        <v>511.0</v>
      </c>
      <c r="E27" s="6">
        <v>105.0</v>
      </c>
      <c r="F27" s="6">
        <v>2515.0</v>
      </c>
      <c r="G27" s="40">
        <f t="shared" si="8"/>
        <v>28903.75</v>
      </c>
      <c r="H27" s="35">
        <f t="shared" si="9"/>
        <v>384</v>
      </c>
      <c r="I27" s="21"/>
      <c r="J27" s="44"/>
      <c r="K27" s="13"/>
      <c r="L27" s="13"/>
      <c r="M27" s="21"/>
    </row>
    <row r="28">
      <c r="B28" s="21"/>
      <c r="C28" s="13"/>
      <c r="D28" s="13"/>
      <c r="E28" s="13"/>
      <c r="F28" s="40"/>
      <c r="G28" s="40">
        <f t="shared" si="8"/>
        <v>0</v>
      </c>
      <c r="H28" s="35">
        <f t="shared" si="9"/>
        <v>1000</v>
      </c>
      <c r="I28" s="21"/>
      <c r="J28" s="44"/>
      <c r="K28" s="13"/>
      <c r="L28" s="13"/>
      <c r="M28" s="21"/>
    </row>
    <row r="29">
      <c r="B29" s="21"/>
      <c r="C29" s="13"/>
      <c r="D29" s="40"/>
      <c r="E29" s="40"/>
      <c r="F29" s="13"/>
      <c r="G29" s="40">
        <f t="shared" si="8"/>
        <v>0</v>
      </c>
      <c r="H29" s="35">
        <f t="shared" si="9"/>
        <v>1000</v>
      </c>
      <c r="I29" s="21"/>
      <c r="J29" s="44"/>
      <c r="K29" s="13"/>
      <c r="L29" s="13"/>
      <c r="M29" s="21"/>
    </row>
    <row r="30">
      <c r="B30" s="21"/>
      <c r="C30" s="6"/>
      <c r="D30" s="6"/>
      <c r="E30" s="6"/>
      <c r="F30" s="6"/>
      <c r="G30" s="40">
        <f t="shared" si="8"/>
        <v>0</v>
      </c>
      <c r="H30" s="35">
        <f t="shared" si="9"/>
        <v>1000</v>
      </c>
      <c r="I30" s="21"/>
      <c r="J30" s="44"/>
      <c r="K30" s="13"/>
      <c r="L30" s="13"/>
      <c r="M30" s="21"/>
    </row>
    <row r="31">
      <c r="B31" s="21"/>
      <c r="C31" s="30"/>
      <c r="D31" s="30"/>
      <c r="E31" s="30"/>
      <c r="F31" s="30"/>
      <c r="G31" s="40">
        <f t="shared" si="8"/>
        <v>0</v>
      </c>
      <c r="H31" s="35">
        <f t="shared" si="9"/>
        <v>1000</v>
      </c>
      <c r="I31" s="21"/>
      <c r="J31" s="44"/>
      <c r="K31" s="13"/>
      <c r="L31" s="13"/>
      <c r="M31" s="21"/>
    </row>
    <row r="32">
      <c r="B32" s="21"/>
      <c r="C32" s="30"/>
      <c r="D32" s="30"/>
      <c r="E32" s="30"/>
      <c r="F32" s="30"/>
      <c r="G32" s="40">
        <f t="shared" si="8"/>
        <v>0</v>
      </c>
      <c r="H32" s="35">
        <f t="shared" si="9"/>
        <v>1000</v>
      </c>
      <c r="I32" s="21"/>
      <c r="J32" s="44"/>
      <c r="K32" s="13"/>
      <c r="L32" s="6"/>
      <c r="M32" s="21"/>
    </row>
    <row r="33">
      <c r="B33" s="21"/>
      <c r="C33" s="30"/>
      <c r="D33" s="30"/>
      <c r="E33" s="30"/>
      <c r="F33" s="30"/>
      <c r="G33" s="40">
        <f t="shared" si="8"/>
        <v>0</v>
      </c>
      <c r="H33" s="35">
        <f t="shared" si="9"/>
        <v>1000</v>
      </c>
      <c r="I33" s="21"/>
      <c r="J33" s="44"/>
      <c r="K33" s="13"/>
      <c r="L33" s="6"/>
      <c r="M33" s="21"/>
    </row>
    <row r="34">
      <c r="B34" s="21"/>
      <c r="C34" s="30"/>
      <c r="D34" s="30"/>
      <c r="E34" s="30"/>
      <c r="F34" s="30"/>
      <c r="G34" s="40">
        <f t="shared" si="8"/>
        <v>0</v>
      </c>
      <c r="H34" s="35">
        <f t="shared" si="9"/>
        <v>1000</v>
      </c>
      <c r="I34" s="21"/>
      <c r="J34" s="47"/>
      <c r="K34" s="13"/>
      <c r="L34" s="6"/>
      <c r="M34" s="21"/>
    </row>
    <row r="35">
      <c r="B35" s="21"/>
      <c r="C35" s="30"/>
      <c r="D35" s="30"/>
      <c r="E35" s="30"/>
      <c r="F35" s="30"/>
      <c r="G35" s="40">
        <f t="shared" si="8"/>
        <v>0</v>
      </c>
      <c r="H35" s="35">
        <f t="shared" si="9"/>
        <v>1000</v>
      </c>
      <c r="I35" s="21"/>
      <c r="J35" s="41"/>
      <c r="K35" s="46"/>
      <c r="L35" s="6"/>
      <c r="M35" s="21"/>
    </row>
    <row r="36">
      <c r="B36" s="21"/>
      <c r="C36" s="30"/>
      <c r="D36" s="30"/>
      <c r="E36" s="30"/>
      <c r="F36" s="30"/>
      <c r="G36" s="40">
        <f t="shared" si="8"/>
        <v>0</v>
      </c>
      <c r="H36" s="35">
        <f t="shared" si="9"/>
        <v>1000</v>
      </c>
      <c r="I36" s="21"/>
      <c r="J36" s="44"/>
      <c r="K36" s="46"/>
      <c r="L36" s="6"/>
      <c r="M36" s="21"/>
    </row>
    <row r="37">
      <c r="B37" s="21"/>
      <c r="C37" s="30"/>
      <c r="D37" s="30"/>
      <c r="E37" s="30"/>
      <c r="F37" s="30"/>
      <c r="G37" s="40">
        <f t="shared" si="8"/>
        <v>0</v>
      </c>
      <c r="H37" s="35">
        <f t="shared" si="9"/>
        <v>1000</v>
      </c>
      <c r="I37" s="21"/>
      <c r="J37" s="44"/>
      <c r="K37" s="46"/>
      <c r="L37" s="6"/>
      <c r="M37" s="21"/>
    </row>
    <row r="38">
      <c r="B38" s="21"/>
      <c r="C38" s="30"/>
      <c r="D38" s="30"/>
      <c r="E38" s="30"/>
      <c r="F38" s="30"/>
      <c r="G38" s="40">
        <f t="shared" si="8"/>
        <v>0</v>
      </c>
      <c r="H38" s="35">
        <f t="shared" si="9"/>
        <v>1000</v>
      </c>
      <c r="I38" s="21"/>
      <c r="J38" s="44"/>
      <c r="K38" s="46"/>
      <c r="L38" s="6"/>
      <c r="M38" s="21"/>
    </row>
    <row r="39">
      <c r="B39" s="21"/>
      <c r="C39" s="30"/>
      <c r="D39" s="30"/>
      <c r="E39" s="30"/>
      <c r="F39" s="30"/>
      <c r="G39" s="40">
        <f t="shared" si="8"/>
        <v>0</v>
      </c>
      <c r="H39" s="35">
        <f t="shared" si="9"/>
        <v>1000</v>
      </c>
      <c r="I39" s="21"/>
      <c r="J39" s="44"/>
      <c r="K39" s="46"/>
      <c r="L39" s="6"/>
      <c r="M39" s="21"/>
    </row>
    <row r="40">
      <c r="B40" s="21"/>
      <c r="C40" s="30"/>
      <c r="D40" s="30"/>
      <c r="E40" s="30"/>
      <c r="F40" s="30"/>
      <c r="G40" s="40">
        <f t="shared" si="8"/>
        <v>0</v>
      </c>
      <c r="H40" s="35">
        <f t="shared" si="9"/>
        <v>1000</v>
      </c>
      <c r="I40" s="21"/>
      <c r="J40" s="44"/>
      <c r="K40" s="48"/>
      <c r="L40" s="6"/>
      <c r="M40" s="21"/>
    </row>
    <row r="41">
      <c r="B41" s="15"/>
      <c r="C41" s="30"/>
      <c r="D41" s="30"/>
      <c r="E41" s="30"/>
      <c r="F41" s="30"/>
      <c r="G41" s="40">
        <f t="shared" si="8"/>
        <v>0</v>
      </c>
      <c r="H41" s="35">
        <f t="shared" si="9"/>
        <v>1000</v>
      </c>
      <c r="I41" s="21"/>
      <c r="J41" s="44"/>
      <c r="K41" s="48"/>
      <c r="L41" s="6"/>
      <c r="M41" s="21"/>
    </row>
    <row r="42">
      <c r="G42" s="49">
        <f>SUM(G26:G41)</f>
        <v>73142.5</v>
      </c>
      <c r="I42" s="21"/>
      <c r="J42" s="44"/>
      <c r="K42" s="48"/>
      <c r="L42" s="6"/>
      <c r="M42" s="21"/>
    </row>
    <row r="43">
      <c r="I43" s="21"/>
      <c r="J43" s="44"/>
      <c r="K43" s="48"/>
      <c r="L43" s="6"/>
      <c r="M43" s="21"/>
    </row>
    <row r="44">
      <c r="I44" s="21"/>
      <c r="J44" s="44"/>
      <c r="K44" s="48"/>
      <c r="L44" s="6"/>
      <c r="M44" s="21"/>
    </row>
    <row r="45">
      <c r="I45" s="21"/>
      <c r="J45" s="44"/>
      <c r="K45" s="46"/>
      <c r="L45" s="13"/>
      <c r="M45" s="21"/>
    </row>
    <row r="46">
      <c r="I46" s="15"/>
      <c r="J46" s="47"/>
      <c r="K46" s="46"/>
      <c r="L46" s="13"/>
      <c r="M46" s="15"/>
    </row>
  </sheetData>
  <mergeCells count="15">
    <mergeCell ref="C15:C16"/>
    <mergeCell ref="D15:D16"/>
    <mergeCell ref="B25:B41"/>
    <mergeCell ref="I11:I13"/>
    <mergeCell ref="I15:I18"/>
    <mergeCell ref="I25:I46"/>
    <mergeCell ref="M26:M46"/>
    <mergeCell ref="B2:D2"/>
    <mergeCell ref="B6:B7"/>
    <mergeCell ref="C6:E6"/>
    <mergeCell ref="F6:G6"/>
    <mergeCell ref="M11:M13"/>
    <mergeCell ref="B15:B19"/>
    <mergeCell ref="E15:G15"/>
    <mergeCell ref="B20:D20"/>
  </mergeCells>
  <dataValidations>
    <dataValidation type="list" allowBlank="1" showErrorMessage="1" sqref="J16:J18">
      <formula1>"La Mesa,Rancho,Rockford Hills,Pillbox,Hawick,Little Seoul,Del Piero,Mission Row,Textile City,La Mesa,Strawberry,West Vinewood"</formula1>
    </dataValidation>
    <dataValidation type="list" allowBlank="1" showErrorMessage="1" sqref="C17:C19">
      <formula1>"Combat Pistol,Heavy Pistol,Machine Pistol,Sawn Off,Pump,None"</formula1>
    </dataValidation>
    <dataValidation type="list" allowBlank="1" showErrorMessage="1" sqref="K16:K18">
      <formula1>"Combat Pistol,Heavy Pistol,Machine Pistol,Sawn Off,Pump,NONE"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25"/>
  </cols>
  <sheetData>
    <row r="1">
      <c r="A1" s="9" t="s">
        <v>49</v>
      </c>
    </row>
    <row r="2">
      <c r="B2" s="34" t="s">
        <v>50</v>
      </c>
      <c r="C2" s="34" t="s">
        <v>51</v>
      </c>
    </row>
    <row r="3">
      <c r="A3" s="52" t="s">
        <v>52</v>
      </c>
      <c r="B3" s="10" t="s">
        <v>53</v>
      </c>
      <c r="C3" s="6">
        <v>100.0</v>
      </c>
    </row>
    <row r="4">
      <c r="A4" s="21"/>
      <c r="B4" s="10" t="s">
        <v>54</v>
      </c>
      <c r="C4" s="6">
        <v>100.0</v>
      </c>
    </row>
    <row r="5">
      <c r="A5" s="21"/>
      <c r="B5" s="10" t="s">
        <v>55</v>
      </c>
      <c r="C5" s="6">
        <v>100.0</v>
      </c>
    </row>
    <row r="6">
      <c r="A6" s="15"/>
      <c r="B6" s="10" t="s">
        <v>56</v>
      </c>
      <c r="C6" s="6">
        <v>100.0</v>
      </c>
    </row>
    <row r="7">
      <c r="A7" s="53"/>
      <c r="B7" s="54"/>
      <c r="C7" s="55"/>
    </row>
    <row r="8">
      <c r="A8" s="56" t="s">
        <v>57</v>
      </c>
      <c r="B8" s="10" t="s">
        <v>58</v>
      </c>
      <c r="C8" s="6">
        <v>20.0</v>
      </c>
    </row>
    <row r="9">
      <c r="A9" s="21"/>
      <c r="B9" s="10" t="s">
        <v>59</v>
      </c>
      <c r="C9" s="6">
        <v>39.0</v>
      </c>
    </row>
    <row r="10">
      <c r="A10" s="21"/>
      <c r="B10" s="10" t="s">
        <v>60</v>
      </c>
      <c r="C10" s="6">
        <v>20.0</v>
      </c>
    </row>
    <row r="11" ht="15.0" customHeight="1">
      <c r="A11" s="15"/>
      <c r="B11" s="10" t="s">
        <v>61</v>
      </c>
      <c r="C11" s="6">
        <v>91.0</v>
      </c>
    </row>
    <row r="12">
      <c r="A12" s="57"/>
      <c r="B12" s="54"/>
      <c r="C12" s="55"/>
    </row>
    <row r="13">
      <c r="A13" s="58" t="s">
        <v>62</v>
      </c>
      <c r="B13" s="10" t="s">
        <v>63</v>
      </c>
      <c r="C13" s="6">
        <v>70.0</v>
      </c>
    </row>
    <row r="14">
      <c r="A14" s="21"/>
      <c r="B14" s="10" t="s">
        <v>64</v>
      </c>
      <c r="C14" s="6">
        <v>70.0</v>
      </c>
    </row>
    <row r="15">
      <c r="A15" s="21"/>
      <c r="B15" s="10" t="s">
        <v>65</v>
      </c>
      <c r="C15" s="6">
        <v>30.0</v>
      </c>
    </row>
    <row r="16">
      <c r="A16" s="21"/>
      <c r="B16" s="10" t="s">
        <v>66</v>
      </c>
      <c r="C16" s="6">
        <v>30.0</v>
      </c>
    </row>
    <row r="17">
      <c r="A17" s="21"/>
      <c r="B17" s="10" t="s">
        <v>67</v>
      </c>
      <c r="C17" s="6">
        <v>40.0</v>
      </c>
    </row>
    <row r="18">
      <c r="A18" s="21"/>
      <c r="B18" s="10" t="s">
        <v>68</v>
      </c>
      <c r="C18" s="6">
        <v>20.0</v>
      </c>
    </row>
    <row r="19">
      <c r="A19" s="21"/>
      <c r="B19" s="10" t="s">
        <v>69</v>
      </c>
      <c r="C19" s="6">
        <v>30.0</v>
      </c>
    </row>
    <row r="20">
      <c r="A20" s="15"/>
      <c r="B20" s="10" t="s">
        <v>70</v>
      </c>
      <c r="C20" s="6">
        <v>70.0</v>
      </c>
    </row>
    <row r="21">
      <c r="A21" s="57"/>
      <c r="B21" s="54"/>
      <c r="C21" s="55"/>
    </row>
    <row r="22">
      <c r="A22" s="59" t="s">
        <v>71</v>
      </c>
      <c r="B22" s="10" t="s">
        <v>72</v>
      </c>
      <c r="C22" s="6">
        <v>0.0</v>
      </c>
    </row>
    <row r="23">
      <c r="A23" s="21"/>
      <c r="B23" s="10" t="s">
        <v>73</v>
      </c>
      <c r="C23" s="30"/>
    </row>
    <row r="24">
      <c r="A24" s="21"/>
      <c r="B24" s="10" t="s">
        <v>74</v>
      </c>
      <c r="C24" s="6">
        <v>16.0</v>
      </c>
    </row>
    <row r="25">
      <c r="A25" s="15"/>
      <c r="B25" s="10" t="s">
        <v>75</v>
      </c>
      <c r="C25" s="6">
        <v>20.0</v>
      </c>
    </row>
    <row r="26">
      <c r="C26" s="19"/>
      <c r="F26" s="19"/>
      <c r="G26" s="19"/>
    </row>
    <row r="27">
      <c r="C27" s="19"/>
      <c r="F27" s="17"/>
      <c r="G27" s="17"/>
    </row>
    <row r="28">
      <c r="C28" s="19"/>
      <c r="F28" s="19"/>
      <c r="G28" s="19"/>
    </row>
    <row r="29">
      <c r="D29" s="19"/>
      <c r="E29" s="19"/>
      <c r="F29" s="19"/>
      <c r="G29" s="19"/>
    </row>
  </sheetData>
  <mergeCells count="4">
    <mergeCell ref="A3:A6"/>
    <mergeCell ref="A8:A11"/>
    <mergeCell ref="A13:A20"/>
    <mergeCell ref="A22:A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6.75"/>
    <col customWidth="1" min="4" max="4" width="13.88"/>
    <col customWidth="1" min="5" max="5" width="16.5"/>
    <col customWidth="1" min="9" max="9" width="15.5"/>
    <col customWidth="1" min="10" max="10" width="18.88"/>
    <col customWidth="1" min="11" max="11" width="16.75"/>
    <col customWidth="1" min="12" max="12" width="12.88"/>
    <col customWidth="1" min="13" max="13" width="15.0"/>
    <col customWidth="1" min="14" max="14" width="15.13"/>
    <col customWidth="1" min="18" max="18" width="16.75"/>
    <col customWidth="1" min="19" max="19" width="15.75"/>
    <col customWidth="1" min="20" max="20" width="13.13"/>
    <col customWidth="1" min="21" max="21" width="20.63"/>
    <col customWidth="1" min="22" max="22" width="13.88"/>
    <col customWidth="1" min="23" max="23" width="15.75"/>
  </cols>
  <sheetData>
    <row r="2">
      <c r="B2" s="1" t="s">
        <v>0</v>
      </c>
      <c r="C2" s="2"/>
      <c r="D2" s="3"/>
    </row>
    <row r="3">
      <c r="B3" s="4" t="s">
        <v>1</v>
      </c>
      <c r="C3" s="4" t="s">
        <v>2</v>
      </c>
      <c r="D3" s="4" t="s">
        <v>3</v>
      </c>
      <c r="I3" s="5" t="s">
        <v>4</v>
      </c>
    </row>
    <row r="4">
      <c r="B4" s="6">
        <v>35.0</v>
      </c>
      <c r="C4" s="6">
        <v>75.0</v>
      </c>
      <c r="D4" s="6">
        <v>1.25</v>
      </c>
      <c r="I4" s="7" t="s">
        <v>5</v>
      </c>
      <c r="J4" s="8" t="s">
        <v>6</v>
      </c>
      <c r="K4" s="8" t="s">
        <v>7</v>
      </c>
      <c r="L4" s="8" t="s">
        <v>8</v>
      </c>
      <c r="AD4" s="9"/>
    </row>
    <row r="5">
      <c r="I5" s="10" t="s">
        <v>9</v>
      </c>
      <c r="J5" s="11">
        <v>2000.0</v>
      </c>
      <c r="K5" s="12">
        <v>12.5</v>
      </c>
      <c r="L5" s="13">
        <v>12.0</v>
      </c>
      <c r="AD5" s="9"/>
    </row>
    <row r="6">
      <c r="B6" s="14" t="s">
        <v>5</v>
      </c>
      <c r="C6" s="1" t="s">
        <v>10</v>
      </c>
      <c r="D6" s="2"/>
      <c r="E6" s="3"/>
      <c r="F6" s="1" t="s">
        <v>11</v>
      </c>
      <c r="G6" s="3"/>
      <c r="I6" s="10" t="s">
        <v>12</v>
      </c>
      <c r="J6" s="11">
        <v>3100.0</v>
      </c>
      <c r="K6" s="12">
        <v>18.75</v>
      </c>
      <c r="L6" s="13">
        <v>18.0</v>
      </c>
      <c r="AD6" s="9"/>
    </row>
    <row r="7">
      <c r="B7" s="15"/>
      <c r="C7" s="16" t="s">
        <v>1</v>
      </c>
      <c r="D7" s="16" t="s">
        <v>2</v>
      </c>
      <c r="E7" s="16" t="s">
        <v>3</v>
      </c>
      <c r="F7" s="16" t="s">
        <v>1</v>
      </c>
      <c r="G7" s="16" t="s">
        <v>3</v>
      </c>
      <c r="H7" s="17"/>
      <c r="I7" s="10" t="s">
        <v>13</v>
      </c>
      <c r="J7" s="11">
        <v>6000.0</v>
      </c>
      <c r="K7" s="12">
        <v>41.25</v>
      </c>
      <c r="L7" s="13">
        <v>12.0</v>
      </c>
      <c r="P7" s="9"/>
      <c r="AD7" s="9"/>
    </row>
    <row r="8">
      <c r="B8" s="18" t="s">
        <v>9</v>
      </c>
      <c r="C8" s="6">
        <v>50.0</v>
      </c>
      <c r="D8" s="6">
        <v>0.0</v>
      </c>
      <c r="E8" s="6">
        <v>200.0</v>
      </c>
      <c r="F8" s="6">
        <v>0.0</v>
      </c>
      <c r="G8" s="6">
        <v>10.0</v>
      </c>
      <c r="H8" s="19"/>
      <c r="I8" s="10" t="s">
        <v>14</v>
      </c>
      <c r="J8" s="11">
        <v>3750.0</v>
      </c>
      <c r="K8" s="12">
        <v>41.25</v>
      </c>
      <c r="L8" s="13">
        <v>8.0</v>
      </c>
      <c r="P8" s="17"/>
    </row>
    <row r="9">
      <c r="B9" s="18" t="s">
        <v>12</v>
      </c>
      <c r="C9" s="6">
        <v>60.0</v>
      </c>
      <c r="D9" s="6">
        <v>10.0</v>
      </c>
      <c r="E9" s="6">
        <v>200.0</v>
      </c>
      <c r="F9" s="6">
        <v>0.0</v>
      </c>
      <c r="G9" s="6">
        <v>15.0</v>
      </c>
      <c r="H9" s="19"/>
      <c r="I9" s="10" t="s">
        <v>15</v>
      </c>
      <c r="J9" s="11">
        <v>4800.0</v>
      </c>
      <c r="K9" s="12">
        <v>41.25</v>
      </c>
      <c r="L9" s="13">
        <v>8.0</v>
      </c>
    </row>
    <row r="10">
      <c r="B10" s="18" t="s">
        <v>13</v>
      </c>
      <c r="C10" s="6">
        <v>100.0</v>
      </c>
      <c r="D10" s="6">
        <v>25.0</v>
      </c>
      <c r="E10" s="6">
        <v>500.0</v>
      </c>
      <c r="F10" s="6">
        <v>1.0</v>
      </c>
      <c r="G10" s="6">
        <v>5.0</v>
      </c>
      <c r="H10" s="19"/>
    </row>
    <row r="11">
      <c r="B11" s="18" t="s">
        <v>14</v>
      </c>
      <c r="C11" s="6">
        <v>75.0</v>
      </c>
      <c r="D11" s="6">
        <v>10.0</v>
      </c>
      <c r="E11" s="6">
        <v>300.0</v>
      </c>
      <c r="F11" s="6">
        <v>1.0</v>
      </c>
      <c r="G11" s="6">
        <v>5.0</v>
      </c>
      <c r="I11" s="23" t="s">
        <v>30</v>
      </c>
      <c r="J11" s="10" t="s">
        <v>1</v>
      </c>
      <c r="K11" s="34">
        <v>742.0</v>
      </c>
      <c r="M11" s="23" t="s">
        <v>18</v>
      </c>
      <c r="N11" s="10" t="s">
        <v>1</v>
      </c>
      <c r="O11" s="40">
        <f>K11-E20</f>
        <v>489</v>
      </c>
    </row>
    <row r="12">
      <c r="B12" s="18" t="s">
        <v>15</v>
      </c>
      <c r="C12" s="6">
        <v>80.0</v>
      </c>
      <c r="D12" s="6">
        <v>20.0</v>
      </c>
      <c r="E12" s="6">
        <v>400.0</v>
      </c>
      <c r="F12" s="6">
        <v>1.0</v>
      </c>
      <c r="G12" s="6">
        <v>5.0</v>
      </c>
      <c r="H12" s="17"/>
      <c r="I12" s="21"/>
      <c r="J12" s="10" t="s">
        <v>2</v>
      </c>
      <c r="K12" s="34">
        <v>130.0</v>
      </c>
      <c r="M12" s="21"/>
      <c r="N12" s="10" t="s">
        <v>2</v>
      </c>
      <c r="O12" s="40">
        <f>K12-F20</f>
        <v>90</v>
      </c>
    </row>
    <row r="13">
      <c r="I13" s="15"/>
      <c r="J13" s="10" t="s">
        <v>3</v>
      </c>
      <c r="K13" s="34">
        <v>828.0</v>
      </c>
      <c r="M13" s="15"/>
      <c r="N13" s="10" t="s">
        <v>3</v>
      </c>
      <c r="O13" s="13">
        <f>K13-G20</f>
        <v>-287</v>
      </c>
    </row>
    <row r="15">
      <c r="B15" s="22" t="s">
        <v>17</v>
      </c>
      <c r="C15" s="23" t="s">
        <v>5</v>
      </c>
      <c r="D15" s="23" t="s">
        <v>11</v>
      </c>
      <c r="E15" s="1" t="s">
        <v>18</v>
      </c>
      <c r="F15" s="2"/>
      <c r="G15" s="3"/>
      <c r="I15" s="23" t="s">
        <v>19</v>
      </c>
      <c r="J15" s="24" t="s">
        <v>20</v>
      </c>
      <c r="K15" s="24" t="s">
        <v>5</v>
      </c>
      <c r="L15" s="24" t="s">
        <v>11</v>
      </c>
      <c r="M15" s="25" t="s">
        <v>21</v>
      </c>
      <c r="N15" s="8" t="s">
        <v>22</v>
      </c>
      <c r="O15" s="24" t="s">
        <v>23</v>
      </c>
      <c r="P15" s="8" t="s">
        <v>24</v>
      </c>
    </row>
    <row r="16">
      <c r="B16" s="21"/>
      <c r="C16" s="15"/>
      <c r="D16" s="15"/>
      <c r="E16" s="4" t="s">
        <v>1</v>
      </c>
      <c r="F16" s="4" t="s">
        <v>2</v>
      </c>
      <c r="G16" s="4" t="s">
        <v>3</v>
      </c>
      <c r="I16" s="21"/>
      <c r="J16" s="10" t="s">
        <v>27</v>
      </c>
      <c r="K16" s="13" t="s">
        <v>15</v>
      </c>
      <c r="L16" s="6">
        <v>48.0</v>
      </c>
      <c r="M16" s="26">
        <f t="shared" ref="M16:M18" si="1">SWITCH(K16, "Combat Pistol", 2000, "Heavy Pistol", 3100, "Machine Pistol", 6000, "Sawn Off", 3750, "Pump", 4800, "")</f>
        <v>4800</v>
      </c>
      <c r="N16" s="27">
        <f t="shared" ref="N16:N18" si="2">IF(L16="", "", ROUND((XLOOKUP(K16, $I$5:$I$9, $K$5:$K$9) / XLOOKUP(K16, $I$5:$I$9, $L$5:$L$9)) * L16, 0))</f>
        <v>248</v>
      </c>
      <c r="O16" s="28">
        <v>6145.63</v>
      </c>
      <c r="P16" s="29">
        <f t="shared" ref="P16:P18" si="3">O16-(M16+N16)</f>
        <v>1097.63</v>
      </c>
    </row>
    <row r="17">
      <c r="B17" s="21"/>
      <c r="C17" s="6" t="s">
        <v>15</v>
      </c>
      <c r="D17" s="6">
        <v>56.0</v>
      </c>
      <c r="E17" s="30">
        <f t="shared" ref="E17:E19" si="4">IF(D17="", "", XLOOKUP(C17, $B$8:$B$12, $C$8:$C$12) + (CEILING(D17 / XLOOKUP(C17, $B$8:$B$12, $L$5:$L$9), 1) * XLOOKUP(C17, $B$8:$B$12, $F$8:$F$12)))</f>
        <v>87</v>
      </c>
      <c r="F17" s="30">
        <f t="shared" ref="F17:F19" si="5">IF(D17="", "", XLOOKUP(C17, $B$8:$B$12, $D$8:$D$12) + (CEILING(D17 / XLOOKUP(C17, $B$8:$B$12, $L$5:$L$9), 1) * 0))</f>
        <v>20</v>
      </c>
      <c r="G17" s="30">
        <f t="shared" ref="G17:G19" si="6">IF(D17="", "", XLOOKUP(C17, $B$8:$B$12, $E$8:$E$12) + (CEILING(D17 / XLOOKUP(C17, $B$8:$B$12, $L$5:$L$9), 1) * XLOOKUP(C17, $B$8:$B$12, $G$8:$G$12)))</f>
        <v>435</v>
      </c>
      <c r="H17" s="31"/>
      <c r="I17" s="21"/>
      <c r="J17" s="10" t="s">
        <v>76</v>
      </c>
      <c r="K17" s="13" t="s">
        <v>14</v>
      </c>
      <c r="L17" s="6">
        <v>64.0</v>
      </c>
      <c r="M17" s="26">
        <f t="shared" si="1"/>
        <v>3750</v>
      </c>
      <c r="N17" s="27">
        <f t="shared" si="2"/>
        <v>330</v>
      </c>
      <c r="O17" s="28">
        <v>4790.68</v>
      </c>
      <c r="P17" s="29">
        <f t="shared" si="3"/>
        <v>710.68</v>
      </c>
    </row>
    <row r="18">
      <c r="B18" s="21"/>
      <c r="C18" s="6" t="s">
        <v>14</v>
      </c>
      <c r="D18" s="6">
        <v>48.0</v>
      </c>
      <c r="E18" s="30">
        <f t="shared" si="4"/>
        <v>81</v>
      </c>
      <c r="F18" s="30">
        <f t="shared" si="5"/>
        <v>10</v>
      </c>
      <c r="G18" s="30">
        <f t="shared" si="6"/>
        <v>330</v>
      </c>
      <c r="I18" s="15"/>
      <c r="J18" s="10" t="s">
        <v>77</v>
      </c>
      <c r="K18" s="13" t="s">
        <v>13</v>
      </c>
      <c r="L18" s="6">
        <v>84.0</v>
      </c>
      <c r="M18" s="26">
        <f t="shared" si="1"/>
        <v>6000</v>
      </c>
      <c r="N18" s="27">
        <f t="shared" si="2"/>
        <v>289</v>
      </c>
      <c r="O18" s="28">
        <v>7563.0</v>
      </c>
      <c r="P18" s="29">
        <f t="shared" si="3"/>
        <v>1274</v>
      </c>
    </row>
    <row r="19">
      <c r="B19" s="15"/>
      <c r="C19" s="6" t="s">
        <v>14</v>
      </c>
      <c r="D19" s="6">
        <v>80.0</v>
      </c>
      <c r="E19" s="6">
        <f t="shared" si="4"/>
        <v>85</v>
      </c>
      <c r="F19" s="30">
        <f t="shared" si="5"/>
        <v>10</v>
      </c>
      <c r="G19" s="6">
        <f t="shared" si="6"/>
        <v>350</v>
      </c>
      <c r="P19" s="32">
        <f>SUM(P16:P18)</f>
        <v>3082.31</v>
      </c>
    </row>
    <row r="20">
      <c r="E20" s="6">
        <f t="shared" ref="E20:G20" si="7">SUM(E17:E19)</f>
        <v>253</v>
      </c>
      <c r="F20" s="30">
        <f t="shared" si="7"/>
        <v>40</v>
      </c>
      <c r="G20" s="30">
        <f t="shared" si="7"/>
        <v>1115</v>
      </c>
    </row>
    <row r="23">
      <c r="H23" s="31"/>
    </row>
    <row r="24">
      <c r="H24" s="33"/>
    </row>
    <row r="25">
      <c r="B25" s="14" t="s">
        <v>37</v>
      </c>
      <c r="C25" s="8" t="s">
        <v>38</v>
      </c>
      <c r="D25" s="8" t="s">
        <v>1</v>
      </c>
      <c r="E25" s="8" t="s">
        <v>39</v>
      </c>
      <c r="F25" s="8" t="s">
        <v>3</v>
      </c>
      <c r="G25" s="8" t="s">
        <v>40</v>
      </c>
      <c r="I25" s="14" t="s">
        <v>24</v>
      </c>
      <c r="J25" s="8" t="s">
        <v>38</v>
      </c>
      <c r="K25" s="8" t="s">
        <v>42</v>
      </c>
      <c r="L25" s="8" t="s">
        <v>24</v>
      </c>
      <c r="M25" s="6" t="s">
        <v>40</v>
      </c>
    </row>
    <row r="26">
      <c r="B26" s="21"/>
      <c r="C26" s="6" t="s">
        <v>78</v>
      </c>
      <c r="D26" s="6">
        <v>400.0</v>
      </c>
      <c r="E26" s="18">
        <v>80.0</v>
      </c>
      <c r="F26" s="6">
        <v>4853.0</v>
      </c>
      <c r="G26" s="40">
        <f>(D26*$B$4)+(E26*$C$4)</f>
        <v>20000</v>
      </c>
      <c r="I26" s="21"/>
      <c r="J26" s="51" t="s">
        <v>79</v>
      </c>
      <c r="K26" s="13" t="s">
        <v>15</v>
      </c>
      <c r="L26" s="13">
        <v>2060.0</v>
      </c>
      <c r="M26" s="42">
        <f>SUM(L26:L46)</f>
        <v>23431.5</v>
      </c>
    </row>
    <row r="27">
      <c r="B27" s="21"/>
      <c r="C27" s="6" t="s">
        <v>79</v>
      </c>
      <c r="D27" s="6">
        <v>700.0</v>
      </c>
      <c r="E27" s="6">
        <v>50.0</v>
      </c>
      <c r="F27" s="30"/>
      <c r="G27" s="40">
        <f t="shared" ref="G27:G41" si="8">(D27*$B$4)+(E27*$C$4)+(F27*$D$4)</f>
        <v>28250</v>
      </c>
      <c r="I27" s="21"/>
      <c r="J27" s="21"/>
      <c r="K27" s="13" t="s">
        <v>80</v>
      </c>
      <c r="L27" s="13">
        <v>811.0</v>
      </c>
      <c r="M27" s="21"/>
    </row>
    <row r="28">
      <c r="B28" s="21"/>
      <c r="C28" s="51" t="s">
        <v>81</v>
      </c>
      <c r="D28" s="13">
        <v>400.0</v>
      </c>
      <c r="E28" s="13">
        <v>50.0</v>
      </c>
      <c r="F28" s="40"/>
      <c r="G28" s="40">
        <f t="shared" si="8"/>
        <v>17750</v>
      </c>
      <c r="I28" s="21"/>
      <c r="J28" s="21"/>
      <c r="K28" s="13" t="s">
        <v>82</v>
      </c>
      <c r="L28" s="13">
        <v>701.5</v>
      </c>
      <c r="M28" s="21"/>
    </row>
    <row r="29">
      <c r="B29" s="21"/>
      <c r="C29" s="15"/>
      <c r="D29" s="40"/>
      <c r="E29" s="40"/>
      <c r="F29" s="13">
        <v>4000.0</v>
      </c>
      <c r="G29" s="40">
        <f t="shared" si="8"/>
        <v>5000</v>
      </c>
      <c r="I29" s="21"/>
      <c r="J29" s="15"/>
      <c r="K29" s="13" t="s">
        <v>15</v>
      </c>
      <c r="L29" s="13">
        <v>994.0</v>
      </c>
      <c r="M29" s="21"/>
    </row>
    <row r="30">
      <c r="B30" s="21"/>
      <c r="C30" s="6" t="s">
        <v>83</v>
      </c>
      <c r="D30" s="6">
        <v>700.0</v>
      </c>
      <c r="E30" s="6">
        <v>80.0</v>
      </c>
      <c r="F30" s="6">
        <v>4000.0</v>
      </c>
      <c r="G30" s="40">
        <f t="shared" si="8"/>
        <v>35500</v>
      </c>
      <c r="I30" s="21"/>
      <c r="J30" s="51" t="s">
        <v>81</v>
      </c>
      <c r="K30" s="13" t="s">
        <v>13</v>
      </c>
      <c r="L30" s="13">
        <v>1852.0</v>
      </c>
      <c r="M30" s="21"/>
    </row>
    <row r="31">
      <c r="B31" s="21"/>
      <c r="C31" s="30"/>
      <c r="D31" s="30"/>
      <c r="E31" s="30"/>
      <c r="F31" s="30"/>
      <c r="G31" s="40">
        <f t="shared" si="8"/>
        <v>0</v>
      </c>
      <c r="I31" s="21"/>
      <c r="J31" s="21"/>
      <c r="K31" s="13" t="s">
        <v>80</v>
      </c>
      <c r="L31" s="13">
        <v>612.0</v>
      </c>
      <c r="M31" s="21"/>
    </row>
    <row r="32">
      <c r="B32" s="21"/>
      <c r="C32" s="30"/>
      <c r="D32" s="30"/>
      <c r="E32" s="30"/>
      <c r="F32" s="30"/>
      <c r="G32" s="40">
        <f t="shared" si="8"/>
        <v>0</v>
      </c>
      <c r="I32" s="21"/>
      <c r="J32" s="21"/>
      <c r="K32" s="13" t="s">
        <v>82</v>
      </c>
      <c r="L32" s="6">
        <v>731.0</v>
      </c>
      <c r="M32" s="21"/>
    </row>
    <row r="33">
      <c r="B33" s="21"/>
      <c r="C33" s="30"/>
      <c r="D33" s="30"/>
      <c r="E33" s="30"/>
      <c r="F33" s="30"/>
      <c r="G33" s="40">
        <f t="shared" si="8"/>
        <v>0</v>
      </c>
      <c r="I33" s="21"/>
      <c r="J33" s="21"/>
      <c r="K33" s="13" t="s">
        <v>13</v>
      </c>
      <c r="L33" s="6">
        <v>1152.0</v>
      </c>
      <c r="M33" s="21"/>
    </row>
    <row r="34">
      <c r="B34" s="21"/>
      <c r="C34" s="30"/>
      <c r="D34" s="30"/>
      <c r="E34" s="30"/>
      <c r="F34" s="30"/>
      <c r="G34" s="40">
        <f t="shared" si="8"/>
        <v>0</v>
      </c>
      <c r="I34" s="21"/>
      <c r="J34" s="21"/>
      <c r="K34" s="13" t="s">
        <v>80</v>
      </c>
      <c r="L34" s="6">
        <v>687.0</v>
      </c>
      <c r="M34" s="21"/>
    </row>
    <row r="35">
      <c r="B35" s="21"/>
      <c r="C35" s="30"/>
      <c r="D35" s="30"/>
      <c r="E35" s="30"/>
      <c r="F35" s="30"/>
      <c r="G35" s="40">
        <f t="shared" si="8"/>
        <v>0</v>
      </c>
      <c r="I35" s="21"/>
      <c r="J35" s="21"/>
      <c r="K35" s="13" t="s">
        <v>15</v>
      </c>
      <c r="L35" s="6">
        <v>1187.0</v>
      </c>
      <c r="M35" s="21"/>
    </row>
    <row r="36">
      <c r="B36" s="21"/>
      <c r="C36" s="30"/>
      <c r="D36" s="30"/>
      <c r="E36" s="30"/>
      <c r="F36" s="30"/>
      <c r="G36" s="40">
        <f t="shared" si="8"/>
        <v>0</v>
      </c>
      <c r="I36" s="21"/>
      <c r="J36" s="21"/>
      <c r="K36" s="13" t="s">
        <v>84</v>
      </c>
      <c r="L36" s="6">
        <v>1263.0</v>
      </c>
      <c r="M36" s="21"/>
    </row>
    <row r="37">
      <c r="B37" s="21"/>
      <c r="C37" s="30"/>
      <c r="D37" s="30"/>
      <c r="E37" s="30"/>
      <c r="F37" s="30"/>
      <c r="G37" s="40">
        <f t="shared" si="8"/>
        <v>0</v>
      </c>
      <c r="I37" s="21"/>
      <c r="J37" s="21"/>
      <c r="K37" s="13" t="s">
        <v>85</v>
      </c>
      <c r="L37" s="6">
        <v>850.0</v>
      </c>
      <c r="M37" s="21"/>
    </row>
    <row r="38">
      <c r="B38" s="21"/>
      <c r="C38" s="30"/>
      <c r="D38" s="30"/>
      <c r="E38" s="30"/>
      <c r="F38" s="30"/>
      <c r="G38" s="40">
        <f t="shared" si="8"/>
        <v>0</v>
      </c>
      <c r="I38" s="21"/>
      <c r="J38" s="21"/>
      <c r="K38" s="13" t="s">
        <v>84</v>
      </c>
      <c r="L38" s="6">
        <v>993.0</v>
      </c>
      <c r="M38" s="21"/>
    </row>
    <row r="39">
      <c r="B39" s="21"/>
      <c r="C39" s="30"/>
      <c r="D39" s="30"/>
      <c r="E39" s="30"/>
      <c r="F39" s="30"/>
      <c r="G39" s="40">
        <f t="shared" si="8"/>
        <v>0</v>
      </c>
      <c r="I39" s="21"/>
      <c r="J39" s="15"/>
      <c r="K39" s="13" t="s">
        <v>84</v>
      </c>
      <c r="L39" s="6">
        <v>1619.0</v>
      </c>
      <c r="M39" s="21"/>
    </row>
    <row r="40">
      <c r="B40" s="21"/>
      <c r="C40" s="30"/>
      <c r="D40" s="30"/>
      <c r="E40" s="30"/>
      <c r="F40" s="30"/>
      <c r="G40" s="40">
        <f t="shared" si="8"/>
        <v>0</v>
      </c>
      <c r="H40" s="49"/>
      <c r="I40" s="21"/>
      <c r="J40" s="51" t="s">
        <v>83</v>
      </c>
      <c r="K40" s="6" t="s">
        <v>86</v>
      </c>
      <c r="L40" s="6">
        <v>1302.0</v>
      </c>
      <c r="M40" s="21"/>
    </row>
    <row r="41">
      <c r="B41" s="15"/>
      <c r="C41" s="30"/>
      <c r="D41" s="30"/>
      <c r="E41" s="30"/>
      <c r="F41" s="30"/>
      <c r="G41" s="40">
        <f t="shared" si="8"/>
        <v>0</v>
      </c>
      <c r="H41" s="49"/>
      <c r="I41" s="21"/>
      <c r="J41" s="21"/>
      <c r="K41" s="6" t="s">
        <v>86</v>
      </c>
      <c r="L41" s="6">
        <v>1037.0</v>
      </c>
      <c r="M41" s="21"/>
    </row>
    <row r="42">
      <c r="G42" s="49">
        <f>SUM(G26:G41)</f>
        <v>106500</v>
      </c>
      <c r="H42" s="49"/>
      <c r="I42" s="21"/>
      <c r="J42" s="21"/>
      <c r="K42" s="6" t="s">
        <v>82</v>
      </c>
      <c r="L42" s="6">
        <v>1169.0</v>
      </c>
      <c r="M42" s="21"/>
    </row>
    <row r="43">
      <c r="I43" s="21"/>
      <c r="J43" s="21"/>
      <c r="K43" s="6" t="s">
        <v>86</v>
      </c>
      <c r="L43" s="6">
        <v>937.0</v>
      </c>
      <c r="M43" s="21"/>
    </row>
    <row r="44">
      <c r="I44" s="21"/>
      <c r="J44" s="21"/>
      <c r="K44" s="6" t="s">
        <v>86</v>
      </c>
      <c r="L44" s="6">
        <v>802.0</v>
      </c>
      <c r="M44" s="21"/>
    </row>
    <row r="45">
      <c r="I45" s="21"/>
      <c r="J45" s="21"/>
      <c r="K45" s="13" t="s">
        <v>84</v>
      </c>
      <c r="L45" s="13">
        <v>1911.0</v>
      </c>
      <c r="M45" s="21"/>
    </row>
    <row r="46">
      <c r="I46" s="15"/>
      <c r="J46" s="15"/>
      <c r="K46" s="13" t="s">
        <v>86</v>
      </c>
      <c r="L46" s="13">
        <v>761.0</v>
      </c>
      <c r="M46" s="15"/>
    </row>
  </sheetData>
  <mergeCells count="18">
    <mergeCell ref="C15:C16"/>
    <mergeCell ref="D15:D16"/>
    <mergeCell ref="B25:B41"/>
    <mergeCell ref="C28:C29"/>
    <mergeCell ref="I11:I13"/>
    <mergeCell ref="I15:I18"/>
    <mergeCell ref="I25:I46"/>
    <mergeCell ref="J26:J29"/>
    <mergeCell ref="M26:M46"/>
    <mergeCell ref="J30:J39"/>
    <mergeCell ref="J40:J46"/>
    <mergeCell ref="B2:D2"/>
    <mergeCell ref="B6:B7"/>
    <mergeCell ref="C6:E6"/>
    <mergeCell ref="F6:G6"/>
    <mergeCell ref="M11:M13"/>
    <mergeCell ref="B15:B19"/>
    <mergeCell ref="E15:G15"/>
  </mergeCells>
  <dataValidations>
    <dataValidation type="list" allowBlank="1" showErrorMessage="1" sqref="J16:J18">
      <formula1>"La Mesa,Rancho,Rockford Hills,Pillbox,Hawick,Little Seoul,Del Piero,Mission Row,Textile City,La Mesa,Strawberry,West Vinewood"</formula1>
    </dataValidation>
    <dataValidation type="list" allowBlank="1" showErrorMessage="1" sqref="K16:K18 C17:C19">
      <formula1>"Combat Pistol,Heavy Pistol,Machine Pistol,Sawn Off,Pump,NONE"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6.75"/>
    <col customWidth="1" min="5" max="5" width="18.25"/>
    <col customWidth="1" min="11" max="11" width="16.75"/>
  </cols>
  <sheetData>
    <row r="2">
      <c r="B2" s="1" t="s">
        <v>0</v>
      </c>
      <c r="C2" s="2"/>
      <c r="D2" s="3"/>
    </row>
    <row r="3">
      <c r="B3" s="4" t="s">
        <v>1</v>
      </c>
      <c r="C3" s="4" t="s">
        <v>2</v>
      </c>
      <c r="D3" s="4" t="s">
        <v>3</v>
      </c>
      <c r="I3" s="5" t="s">
        <v>4</v>
      </c>
    </row>
    <row r="4">
      <c r="B4" s="6">
        <v>35.0</v>
      </c>
      <c r="C4" s="6">
        <v>75.0</v>
      </c>
      <c r="D4" s="6">
        <v>1.25</v>
      </c>
      <c r="I4" s="7" t="s">
        <v>5</v>
      </c>
      <c r="J4" s="8" t="s">
        <v>6</v>
      </c>
      <c r="K4" s="8" t="s">
        <v>7</v>
      </c>
      <c r="L4" s="8" t="s">
        <v>8</v>
      </c>
    </row>
    <row r="5">
      <c r="I5" s="10" t="s">
        <v>9</v>
      </c>
      <c r="J5" s="11">
        <v>2000.0</v>
      </c>
      <c r="K5" s="12">
        <v>12.5</v>
      </c>
      <c r="L5" s="13">
        <v>12.0</v>
      </c>
    </row>
    <row r="6">
      <c r="B6" s="14" t="s">
        <v>5</v>
      </c>
      <c r="C6" s="1" t="s">
        <v>10</v>
      </c>
      <c r="D6" s="2"/>
      <c r="E6" s="3"/>
      <c r="F6" s="1" t="s">
        <v>11</v>
      </c>
      <c r="G6" s="3"/>
      <c r="I6" s="10" t="s">
        <v>12</v>
      </c>
      <c r="J6" s="11">
        <v>3100.0</v>
      </c>
      <c r="K6" s="12">
        <v>18.75</v>
      </c>
      <c r="L6" s="13">
        <v>18.0</v>
      </c>
    </row>
    <row r="7">
      <c r="B7" s="15"/>
      <c r="C7" s="16" t="s">
        <v>1</v>
      </c>
      <c r="D7" s="16" t="s">
        <v>2</v>
      </c>
      <c r="E7" s="16" t="s">
        <v>3</v>
      </c>
      <c r="F7" s="16" t="s">
        <v>1</v>
      </c>
      <c r="G7" s="16" t="s">
        <v>3</v>
      </c>
      <c r="H7" s="17"/>
      <c r="I7" s="10" t="s">
        <v>13</v>
      </c>
      <c r="J7" s="11">
        <v>6000.0</v>
      </c>
      <c r="K7" s="12">
        <v>41.25</v>
      </c>
      <c r="L7" s="13">
        <v>12.0</v>
      </c>
      <c r="P7" s="9"/>
    </row>
    <row r="8">
      <c r="B8" s="18" t="s">
        <v>9</v>
      </c>
      <c r="C8" s="6">
        <v>50.0</v>
      </c>
      <c r="D8" s="6">
        <v>0.0</v>
      </c>
      <c r="E8" s="6">
        <v>200.0</v>
      </c>
      <c r="F8" s="6">
        <v>0.0</v>
      </c>
      <c r="G8" s="6">
        <v>10.0</v>
      </c>
      <c r="H8" s="19"/>
      <c r="I8" s="10" t="s">
        <v>14</v>
      </c>
      <c r="J8" s="11">
        <v>3750.0</v>
      </c>
      <c r="K8" s="12">
        <v>41.25</v>
      </c>
      <c r="L8" s="13">
        <v>8.0</v>
      </c>
      <c r="P8" s="17"/>
    </row>
    <row r="9">
      <c r="B9" s="18" t="s">
        <v>12</v>
      </c>
      <c r="C9" s="6">
        <v>60.0</v>
      </c>
      <c r="D9" s="6">
        <v>10.0</v>
      </c>
      <c r="E9" s="6">
        <v>200.0</v>
      </c>
      <c r="F9" s="6">
        <v>0.0</v>
      </c>
      <c r="G9" s="6">
        <v>15.0</v>
      </c>
      <c r="H9" s="19"/>
      <c r="I9" s="10" t="s">
        <v>15</v>
      </c>
      <c r="J9" s="11">
        <v>4800.0</v>
      </c>
      <c r="K9" s="12">
        <v>41.25</v>
      </c>
      <c r="L9" s="13">
        <v>8.0</v>
      </c>
    </row>
    <row r="10">
      <c r="B10" s="18" t="s">
        <v>13</v>
      </c>
      <c r="C10" s="6">
        <v>100.0</v>
      </c>
      <c r="D10" s="6">
        <v>25.0</v>
      </c>
      <c r="E10" s="6">
        <v>500.0</v>
      </c>
      <c r="F10" s="6">
        <v>1.0</v>
      </c>
      <c r="G10" s="6">
        <v>5.0</v>
      </c>
      <c r="H10" s="19"/>
    </row>
    <row r="11">
      <c r="B11" s="18" t="s">
        <v>14</v>
      </c>
      <c r="C11" s="6">
        <v>75.0</v>
      </c>
      <c r="D11" s="6">
        <v>10.0</v>
      </c>
      <c r="E11" s="6">
        <v>300.0</v>
      </c>
      <c r="F11" s="6">
        <v>1.0</v>
      </c>
      <c r="G11" s="6">
        <v>5.0</v>
      </c>
      <c r="I11" s="23" t="s">
        <v>30</v>
      </c>
      <c r="J11" s="10" t="s">
        <v>1</v>
      </c>
      <c r="K11" s="34">
        <v>761.0</v>
      </c>
      <c r="M11" s="23" t="s">
        <v>18</v>
      </c>
      <c r="N11" s="10" t="s">
        <v>1</v>
      </c>
      <c r="O11" s="36"/>
    </row>
    <row r="12">
      <c r="B12" s="18" t="s">
        <v>15</v>
      </c>
      <c r="C12" s="6">
        <v>80.0</v>
      </c>
      <c r="D12" s="6">
        <v>20.0</v>
      </c>
      <c r="E12" s="6">
        <v>400.0</v>
      </c>
      <c r="F12" s="6">
        <v>1.0</v>
      </c>
      <c r="G12" s="6">
        <v>5.0</v>
      </c>
      <c r="H12" s="17"/>
      <c r="I12" s="21"/>
      <c r="J12" s="10" t="s">
        <v>2</v>
      </c>
      <c r="K12" s="34">
        <v>80.0</v>
      </c>
      <c r="M12" s="21"/>
      <c r="N12" s="10" t="s">
        <v>2</v>
      </c>
      <c r="O12" s="36"/>
    </row>
    <row r="13">
      <c r="I13" s="15"/>
      <c r="J13" s="10" t="s">
        <v>3</v>
      </c>
      <c r="K13" s="34">
        <v>3393.0</v>
      </c>
      <c r="M13" s="15"/>
      <c r="N13" s="10" t="s">
        <v>3</v>
      </c>
      <c r="O13" s="10"/>
    </row>
    <row r="14">
      <c r="E14" s="9">
        <v>191.0</v>
      </c>
      <c r="F14" s="9">
        <v>35.0</v>
      </c>
      <c r="G14" s="9">
        <v>680.0</v>
      </c>
      <c r="J14" s="60"/>
    </row>
    <row r="15">
      <c r="B15" s="22" t="s">
        <v>17</v>
      </c>
      <c r="C15" s="23" t="s">
        <v>5</v>
      </c>
      <c r="D15" s="23" t="s">
        <v>11</v>
      </c>
      <c r="E15" s="1" t="s">
        <v>18</v>
      </c>
      <c r="F15" s="2"/>
      <c r="G15" s="3"/>
      <c r="I15" s="23" t="s">
        <v>19</v>
      </c>
      <c r="J15" s="24" t="s">
        <v>20</v>
      </c>
      <c r="K15" s="24" t="s">
        <v>5</v>
      </c>
      <c r="L15" s="24" t="s">
        <v>11</v>
      </c>
      <c r="M15" s="25" t="s">
        <v>21</v>
      </c>
      <c r="N15" s="8" t="s">
        <v>22</v>
      </c>
      <c r="O15" s="24" t="s">
        <v>23</v>
      </c>
      <c r="P15" s="8" t="s">
        <v>24</v>
      </c>
    </row>
    <row r="16">
      <c r="B16" s="21"/>
      <c r="C16" s="15"/>
      <c r="D16" s="15"/>
      <c r="E16" s="4" t="s">
        <v>1</v>
      </c>
      <c r="F16" s="4" t="s">
        <v>2</v>
      </c>
      <c r="G16" s="4" t="s">
        <v>3</v>
      </c>
      <c r="I16" s="21"/>
      <c r="J16" s="10" t="s">
        <v>26</v>
      </c>
      <c r="K16" s="13" t="s">
        <v>13</v>
      </c>
      <c r="L16" s="6">
        <v>96.0</v>
      </c>
      <c r="M16" s="26">
        <f t="shared" ref="M16:M18" si="1">SWITCH(K16, "Combat Pistol", 2000, "Heavy Pistol", 3100, "Machine Pistol", 6000, "Sawn Off", 3750, "Pump", 4800, "")</f>
        <v>6000</v>
      </c>
      <c r="N16" s="27">
        <f t="shared" ref="N16:N18" si="2">IF(L16="", "", ROUND((XLOOKUP(K16, $I$5:$I$9, $K$5:$K$9) / XLOOKUP(K16, $I$5:$I$9, $L$5:$L$9)) * L16, 0))</f>
        <v>330</v>
      </c>
      <c r="O16" s="28">
        <v>8365.0</v>
      </c>
      <c r="P16" s="29">
        <f t="shared" ref="P16:P18" si="3">O16-(M16+N16)</f>
        <v>2035</v>
      </c>
    </row>
    <row r="17">
      <c r="B17" s="21"/>
      <c r="C17" s="6" t="s">
        <v>13</v>
      </c>
      <c r="D17" s="6">
        <v>96.0</v>
      </c>
      <c r="E17" s="30">
        <f t="shared" ref="E17:E19" si="4">IF(D17="", "", XLOOKUP(C17, $B$8:$B$12, $C$8:$C$12) + (CEILING(D17 / XLOOKUP(C17, $B$8:$B$12, $L$5:$L$9), 1) * XLOOKUP(C17, $B$8:$B$12, $F$8:$F$12)))</f>
        <v>108</v>
      </c>
      <c r="F17" s="30">
        <f t="shared" ref="F17:F19" si="5">IF(D17="", "", XLOOKUP(C17, $B$8:$B$12, $D$8:$D$12) + (CEILING(D17 / XLOOKUP(C17, $B$8:$B$12, $L$5:$L$9), 1) * 0))</f>
        <v>25</v>
      </c>
      <c r="G17" s="30">
        <f t="shared" ref="G17:G19" si="6">IF(D17="", "", XLOOKUP(C17, $B$8:$B$12, $E$8:$E$12) + (CEILING(D17 / XLOOKUP(C17, $B$8:$B$12, $L$5:$L$9), 1) * XLOOKUP(C17, $B$8:$B$12, $G$8:$G$12)))</f>
        <v>540</v>
      </c>
      <c r="H17" s="31"/>
      <c r="I17" s="21"/>
      <c r="J17" s="10" t="s">
        <v>25</v>
      </c>
      <c r="K17" s="13" t="s">
        <v>13</v>
      </c>
      <c r="L17" s="6">
        <v>72.0</v>
      </c>
      <c r="M17" s="26">
        <f t="shared" si="1"/>
        <v>6000</v>
      </c>
      <c r="N17" s="27">
        <f t="shared" si="2"/>
        <v>248</v>
      </c>
      <c r="O17" s="28">
        <v>8467.0</v>
      </c>
      <c r="P17" s="29">
        <f t="shared" si="3"/>
        <v>2219</v>
      </c>
    </row>
    <row r="18">
      <c r="B18" s="21"/>
      <c r="C18" s="6" t="s">
        <v>13</v>
      </c>
      <c r="D18" s="6">
        <v>72.0</v>
      </c>
      <c r="E18" s="30">
        <f t="shared" si="4"/>
        <v>106</v>
      </c>
      <c r="F18" s="30">
        <f t="shared" si="5"/>
        <v>25</v>
      </c>
      <c r="G18" s="30">
        <f t="shared" si="6"/>
        <v>530</v>
      </c>
      <c r="I18" s="15"/>
      <c r="J18" s="10" t="s">
        <v>27</v>
      </c>
      <c r="K18" s="13" t="s">
        <v>15</v>
      </c>
      <c r="L18" s="6">
        <v>80.0</v>
      </c>
      <c r="M18" s="26">
        <f t="shared" si="1"/>
        <v>4800</v>
      </c>
      <c r="N18" s="27">
        <f t="shared" si="2"/>
        <v>413</v>
      </c>
      <c r="O18" s="28">
        <v>6203.0</v>
      </c>
      <c r="P18" s="29">
        <f t="shared" si="3"/>
        <v>990</v>
      </c>
    </row>
    <row r="19">
      <c r="B19" s="15"/>
      <c r="C19" s="6" t="s">
        <v>15</v>
      </c>
      <c r="D19" s="6">
        <v>80.0</v>
      </c>
      <c r="E19" s="6">
        <f t="shared" si="4"/>
        <v>90</v>
      </c>
      <c r="F19" s="30">
        <f t="shared" si="5"/>
        <v>20</v>
      </c>
      <c r="G19" s="6">
        <f t="shared" si="6"/>
        <v>450</v>
      </c>
      <c r="P19" s="32">
        <f>SUM(P16:P18)</f>
        <v>5244</v>
      </c>
    </row>
    <row r="20">
      <c r="E20" s="6">
        <f t="shared" ref="E20:G20" si="7">SUM(E17:E19)</f>
        <v>304</v>
      </c>
      <c r="F20" s="30">
        <f t="shared" si="7"/>
        <v>70</v>
      </c>
      <c r="G20" s="30">
        <f t="shared" si="7"/>
        <v>1520</v>
      </c>
    </row>
    <row r="22">
      <c r="B22" s="14" t="s">
        <v>37</v>
      </c>
      <c r="C22" s="8" t="s">
        <v>38</v>
      </c>
      <c r="D22" s="8" t="s">
        <v>1</v>
      </c>
      <c r="E22" s="8" t="s">
        <v>39</v>
      </c>
      <c r="F22" s="8" t="s">
        <v>3</v>
      </c>
      <c r="G22" s="8" t="s">
        <v>40</v>
      </c>
      <c r="I22" s="14" t="s">
        <v>87</v>
      </c>
      <c r="J22" s="8" t="s">
        <v>38</v>
      </c>
      <c r="K22" s="8" t="s">
        <v>42</v>
      </c>
      <c r="L22" s="8" t="s">
        <v>24</v>
      </c>
      <c r="M22" s="6" t="s">
        <v>40</v>
      </c>
    </row>
    <row r="23">
      <c r="B23" s="21"/>
      <c r="C23" s="61">
        <v>46208.0</v>
      </c>
      <c r="D23" s="6">
        <v>108.0</v>
      </c>
      <c r="E23" s="6">
        <v>25.0</v>
      </c>
      <c r="F23" s="6"/>
      <c r="G23" s="40">
        <f>(D23*$B$4)+(E23*$C$4)</f>
        <v>5655</v>
      </c>
      <c r="I23" s="21"/>
      <c r="J23" s="51"/>
      <c r="K23" s="13"/>
      <c r="L23" s="62"/>
      <c r="M23" s="63">
        <f>SUM(L23:L31)</f>
        <v>0</v>
      </c>
    </row>
    <row r="24">
      <c r="B24" s="21"/>
      <c r="C24" s="21"/>
      <c r="D24" s="6">
        <v>82.0</v>
      </c>
      <c r="E24" s="6">
        <v>10.0</v>
      </c>
      <c r="F24" s="6"/>
      <c r="G24" s="40">
        <f t="shared" ref="G24:G38" si="8">(D24*$B$4)+(E24*$C$4)+(F24*$D$4)</f>
        <v>3620</v>
      </c>
      <c r="I24" s="21"/>
      <c r="J24" s="21"/>
      <c r="K24" s="13"/>
      <c r="L24" s="62"/>
      <c r="M24" s="21"/>
    </row>
    <row r="25">
      <c r="B25" s="21"/>
      <c r="C25" s="21"/>
      <c r="D25" s="13">
        <v>83.0</v>
      </c>
      <c r="E25" s="13">
        <v>10.0</v>
      </c>
      <c r="F25" s="13"/>
      <c r="G25" s="40">
        <f t="shared" si="8"/>
        <v>3655</v>
      </c>
      <c r="I25" s="21"/>
      <c r="J25" s="21"/>
      <c r="K25" s="13"/>
      <c r="L25" s="62"/>
      <c r="M25" s="21"/>
    </row>
    <row r="26">
      <c r="B26" s="21"/>
      <c r="C26" s="21"/>
      <c r="D26" s="13">
        <v>88.0</v>
      </c>
      <c r="E26" s="13">
        <v>20.0</v>
      </c>
      <c r="F26" s="13"/>
      <c r="G26" s="40">
        <f t="shared" si="8"/>
        <v>4580</v>
      </c>
      <c r="I26" s="21"/>
      <c r="J26" s="15"/>
      <c r="K26" s="13"/>
      <c r="L26" s="62"/>
      <c r="M26" s="21"/>
    </row>
    <row r="27">
      <c r="B27" s="21"/>
      <c r="C27" s="21"/>
      <c r="D27" s="6">
        <v>82.0</v>
      </c>
      <c r="E27" s="6">
        <v>10.0</v>
      </c>
      <c r="F27" s="6"/>
      <c r="G27" s="40">
        <f t="shared" si="8"/>
        <v>3620</v>
      </c>
      <c r="I27" s="21"/>
      <c r="J27" s="51"/>
      <c r="K27" s="13"/>
      <c r="L27" s="62"/>
      <c r="M27" s="21"/>
    </row>
    <row r="28">
      <c r="B28" s="21"/>
      <c r="C28" s="21"/>
      <c r="D28" s="6">
        <v>108.0</v>
      </c>
      <c r="E28" s="6">
        <v>25.0</v>
      </c>
      <c r="F28" s="6"/>
      <c r="G28" s="40">
        <f t="shared" si="8"/>
        <v>5655</v>
      </c>
      <c r="I28" s="21"/>
      <c r="J28" s="21"/>
      <c r="K28" s="13"/>
      <c r="L28" s="62"/>
      <c r="M28" s="21"/>
    </row>
    <row r="29">
      <c r="B29" s="21"/>
      <c r="C29" s="21"/>
      <c r="D29" s="6">
        <v>90.0</v>
      </c>
      <c r="E29" s="6">
        <v>20.0</v>
      </c>
      <c r="F29" s="30"/>
      <c r="G29" s="40">
        <f t="shared" si="8"/>
        <v>4650</v>
      </c>
      <c r="I29" s="21"/>
      <c r="J29" s="21"/>
      <c r="K29" s="6"/>
      <c r="L29" s="12"/>
      <c r="M29" s="21"/>
    </row>
    <row r="30">
      <c r="B30" s="21"/>
      <c r="C30" s="21"/>
      <c r="D30" s="6">
        <v>106.0</v>
      </c>
      <c r="E30" s="6">
        <v>70.0</v>
      </c>
      <c r="F30" s="30"/>
      <c r="G30" s="40">
        <f t="shared" si="8"/>
        <v>8960</v>
      </c>
      <c r="I30" s="21"/>
      <c r="J30" s="21"/>
      <c r="K30" s="6"/>
      <c r="L30" s="12"/>
      <c r="M30" s="21"/>
    </row>
    <row r="31">
      <c r="B31" s="21"/>
      <c r="C31" s="21"/>
      <c r="D31" s="30"/>
      <c r="E31" s="30"/>
      <c r="F31" s="30"/>
      <c r="G31" s="40">
        <f t="shared" si="8"/>
        <v>0</v>
      </c>
      <c r="I31" s="15"/>
      <c r="J31" s="15"/>
      <c r="K31" s="6"/>
      <c r="L31" s="12"/>
      <c r="M31" s="15"/>
    </row>
    <row r="32">
      <c r="B32" s="21"/>
      <c r="C32" s="21"/>
      <c r="D32" s="30"/>
      <c r="E32" s="30"/>
      <c r="F32" s="30"/>
      <c r="G32" s="40">
        <f t="shared" si="8"/>
        <v>0</v>
      </c>
    </row>
    <row r="33">
      <c r="B33" s="21"/>
      <c r="C33" s="21"/>
      <c r="D33" s="30"/>
      <c r="E33" s="30"/>
      <c r="F33" s="30"/>
      <c r="G33" s="40">
        <f t="shared" si="8"/>
        <v>0</v>
      </c>
    </row>
    <row r="34">
      <c r="B34" s="21"/>
      <c r="C34" s="21"/>
      <c r="D34" s="30"/>
      <c r="E34" s="30"/>
      <c r="F34" s="30"/>
      <c r="G34" s="40">
        <f t="shared" si="8"/>
        <v>0</v>
      </c>
    </row>
    <row r="35">
      <c r="B35" s="21"/>
      <c r="C35" s="21"/>
      <c r="D35" s="30"/>
      <c r="E35" s="30"/>
      <c r="F35" s="30"/>
      <c r="G35" s="40">
        <f t="shared" si="8"/>
        <v>0</v>
      </c>
    </row>
    <row r="36">
      <c r="B36" s="21"/>
      <c r="C36" s="21"/>
      <c r="D36" s="30"/>
      <c r="E36" s="30"/>
      <c r="F36" s="30"/>
      <c r="G36" s="40">
        <f t="shared" si="8"/>
        <v>0</v>
      </c>
    </row>
    <row r="37">
      <c r="B37" s="21"/>
      <c r="C37" s="21"/>
      <c r="D37" s="30"/>
      <c r="E37" s="30"/>
      <c r="F37" s="30"/>
      <c r="G37" s="40">
        <f t="shared" si="8"/>
        <v>0</v>
      </c>
    </row>
    <row r="38">
      <c r="B38" s="15"/>
      <c r="C38" s="15"/>
      <c r="D38" s="30"/>
      <c r="E38" s="30"/>
      <c r="F38" s="30"/>
      <c r="G38" s="40">
        <f t="shared" si="8"/>
        <v>0</v>
      </c>
    </row>
    <row r="39">
      <c r="D39" s="64">
        <f t="shared" ref="D39:F39" si="9">SUM(D23:D38)</f>
        <v>747</v>
      </c>
      <c r="E39" s="65">
        <f t="shared" si="9"/>
        <v>190</v>
      </c>
      <c r="F39" s="66">
        <f t="shared" si="9"/>
        <v>0</v>
      </c>
    </row>
    <row r="40">
      <c r="C40" s="10" t="s">
        <v>88</v>
      </c>
      <c r="D40" s="64">
        <f>SUM(D39, E39)</f>
        <v>937</v>
      </c>
      <c r="E40" s="3"/>
    </row>
    <row r="41">
      <c r="C41" s="10" t="s">
        <v>89</v>
      </c>
      <c r="D41" s="64">
        <f>1000-D40</f>
        <v>63</v>
      </c>
      <c r="E41" s="3"/>
    </row>
  </sheetData>
  <mergeCells count="19">
    <mergeCell ref="C15:C16"/>
    <mergeCell ref="D15:D16"/>
    <mergeCell ref="B22:B38"/>
    <mergeCell ref="C23:C38"/>
    <mergeCell ref="D40:E40"/>
    <mergeCell ref="D41:E41"/>
    <mergeCell ref="I11:I13"/>
    <mergeCell ref="I15:I18"/>
    <mergeCell ref="I22:I31"/>
    <mergeCell ref="J23:J26"/>
    <mergeCell ref="M23:M31"/>
    <mergeCell ref="J27:J31"/>
    <mergeCell ref="B2:D2"/>
    <mergeCell ref="B6:B7"/>
    <mergeCell ref="C6:E6"/>
    <mergeCell ref="F6:G6"/>
    <mergeCell ref="M11:M13"/>
    <mergeCell ref="B15:B19"/>
    <mergeCell ref="E15:G15"/>
  </mergeCells>
  <dataValidations>
    <dataValidation type="list" allowBlank="1" showErrorMessage="1" sqref="J16:J18">
      <formula1>"La Mesa,Rancho,Rockford Hills,Pillbox,Hawick,Little Seoul,Del Piero,Mission Row,Textile City,La Mesa,Strawberry,West Vinewood"</formula1>
    </dataValidation>
    <dataValidation type="list" allowBlank="1" showErrorMessage="1" sqref="K16 K18 C17:C19">
      <formula1>"Combat Pistol,Heavy Pistol,Machine Pistol,Sawn Off,Pump,NONE"</formula1>
    </dataValidation>
    <dataValidation type="list" allowBlank="1" showErrorMessage="1" sqref="K17">
      <formula1>"Combat Pistol,Heavy Pistol,Machine Pistol,Sawn Off,Pump,KOSONG"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8.25"/>
  </cols>
  <sheetData>
    <row r="3">
      <c r="E3" s="67" t="s">
        <v>90</v>
      </c>
      <c r="F3" s="9" t="s">
        <v>91</v>
      </c>
    </row>
    <row r="4">
      <c r="B4" s="68" t="s">
        <v>92</v>
      </c>
      <c r="C4" s="6" t="s">
        <v>93</v>
      </c>
      <c r="D4" s="36"/>
      <c r="E4" s="6"/>
      <c r="F4" s="19"/>
      <c r="H4" s="10" t="s">
        <v>94</v>
      </c>
      <c r="I4" s="10">
        <v>130.0</v>
      </c>
    </row>
    <row r="5">
      <c r="B5" s="15"/>
      <c r="C5" s="6" t="s">
        <v>65</v>
      </c>
      <c r="D5" s="36"/>
      <c r="E5" s="6"/>
      <c r="F5" s="19"/>
      <c r="H5" s="10" t="s">
        <v>95</v>
      </c>
      <c r="I5" s="10"/>
    </row>
    <row r="6">
      <c r="B6" s="6"/>
      <c r="C6" s="6" t="s">
        <v>68</v>
      </c>
      <c r="D6" s="6"/>
      <c r="E6" s="6"/>
      <c r="F6" s="19"/>
      <c r="H6" s="10" t="s">
        <v>96</v>
      </c>
      <c r="I6" s="10"/>
    </row>
    <row r="7">
      <c r="B7" s="19"/>
      <c r="C7" s="19"/>
      <c r="D7" s="30"/>
      <c r="E7" s="30"/>
      <c r="F7" s="19"/>
      <c r="H7" s="10" t="s">
        <v>97</v>
      </c>
      <c r="I7" s="10">
        <v>180.0</v>
      </c>
    </row>
    <row r="8">
      <c r="B8" s="69" t="s">
        <v>98</v>
      </c>
      <c r="C8" s="6" t="s">
        <v>65</v>
      </c>
      <c r="D8" s="6"/>
      <c r="E8" s="6"/>
      <c r="F8" s="19"/>
    </row>
    <row r="9">
      <c r="B9" s="15"/>
      <c r="C9" s="6" t="s">
        <v>70</v>
      </c>
      <c r="D9" s="6"/>
      <c r="E9" s="6"/>
      <c r="F9" s="19"/>
      <c r="J9" s="70" t="s">
        <v>4</v>
      </c>
      <c r="K9" s="2"/>
      <c r="L9" s="3"/>
    </row>
    <row r="10">
      <c r="B10" s="6">
        <v>90.0</v>
      </c>
      <c r="C10" s="6" t="s">
        <v>67</v>
      </c>
      <c r="D10" s="6">
        <v>100.0</v>
      </c>
      <c r="E10" s="6"/>
      <c r="F10" s="19"/>
      <c r="G10" s="71" t="s">
        <v>99</v>
      </c>
      <c r="H10" s="72"/>
      <c r="I10" s="36"/>
      <c r="J10" s="36"/>
      <c r="K10" s="36"/>
      <c r="L10" s="36"/>
    </row>
    <row r="11">
      <c r="D11" s="36"/>
      <c r="E11" s="30"/>
      <c r="F11" s="19"/>
      <c r="G11" s="73"/>
      <c r="H11" s="74"/>
      <c r="I11" s="36"/>
      <c r="J11" s="36"/>
      <c r="K11" s="36"/>
      <c r="L11" s="36"/>
    </row>
    <row r="12">
      <c r="B12" s="75" t="s">
        <v>100</v>
      </c>
      <c r="C12" s="6" t="s">
        <v>101</v>
      </c>
      <c r="D12" s="6">
        <v>92.0</v>
      </c>
      <c r="E12" s="6">
        <f>B14-D12</f>
        <v>0</v>
      </c>
      <c r="F12" s="17"/>
      <c r="G12" s="36"/>
      <c r="H12" s="36"/>
      <c r="I12" s="36"/>
      <c r="J12" s="36"/>
      <c r="K12" s="36"/>
      <c r="L12" s="36"/>
    </row>
    <row r="13">
      <c r="B13" s="15"/>
      <c r="C13" s="6" t="s">
        <v>102</v>
      </c>
      <c r="D13" s="6">
        <v>92.0</v>
      </c>
      <c r="E13" s="6">
        <f>B14-D13</f>
        <v>0</v>
      </c>
      <c r="F13" s="17"/>
      <c r="J13" s="36"/>
      <c r="K13" s="36"/>
      <c r="L13" s="36"/>
    </row>
    <row r="14">
      <c r="B14" s="6">
        <v>92.0</v>
      </c>
      <c r="C14" s="6" t="s">
        <v>64</v>
      </c>
      <c r="D14" s="6">
        <v>100.0</v>
      </c>
      <c r="E14" s="6">
        <f>B14-D14</f>
        <v>-8</v>
      </c>
      <c r="F14" s="17">
        <v>40.0</v>
      </c>
    </row>
    <row r="15">
      <c r="D15" s="36"/>
      <c r="E15" s="30"/>
      <c r="F15" s="19"/>
    </row>
    <row r="16">
      <c r="B16" s="76" t="s">
        <v>103</v>
      </c>
      <c r="C16" s="6" t="s">
        <v>65</v>
      </c>
      <c r="D16" s="30"/>
      <c r="E16" s="6"/>
      <c r="F16" s="17"/>
    </row>
    <row r="17">
      <c r="B17" s="15"/>
      <c r="C17" s="6" t="s">
        <v>72</v>
      </c>
      <c r="D17" s="30"/>
      <c r="E17" s="6"/>
      <c r="F17" s="19"/>
    </row>
    <row r="18">
      <c r="B18" s="6">
        <v>17.0</v>
      </c>
      <c r="C18" s="6" t="s">
        <v>70</v>
      </c>
      <c r="D18" s="6">
        <v>10.0</v>
      </c>
      <c r="E18" s="30"/>
      <c r="F18" s="17"/>
    </row>
    <row r="19">
      <c r="C19" s="9" t="s">
        <v>104</v>
      </c>
      <c r="F19" s="19"/>
    </row>
    <row r="20">
      <c r="F20" s="19"/>
    </row>
    <row r="21">
      <c r="F21" s="19"/>
    </row>
    <row r="22">
      <c r="D22" s="19"/>
      <c r="E22" s="19"/>
      <c r="F22" s="19"/>
    </row>
  </sheetData>
  <mergeCells count="6">
    <mergeCell ref="B4:B5"/>
    <mergeCell ref="B8:B9"/>
    <mergeCell ref="J9:L9"/>
    <mergeCell ref="G10:H11"/>
    <mergeCell ref="B12:B13"/>
    <mergeCell ref="B16:B17"/>
  </mergeCells>
  <drawing r:id="rId1"/>
</worksheet>
</file>